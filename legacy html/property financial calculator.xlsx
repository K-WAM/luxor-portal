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ee\Desktop\"/>
    </mc:Choice>
  </mc:AlternateContent>
  <xr:revisionPtr revIDLastSave="0" documentId="8_{C98AEC51-D9E3-4103-B445-BC51028240F9}" xr6:coauthVersionLast="47" xr6:coauthVersionMax="47" xr10:uidLastSave="{00000000-0000-0000-0000-000000000000}"/>
  <bookViews>
    <workbookView xWindow="-110" yWindow="-110" windowWidth="19420" windowHeight="10300" xr2:uid="{585DF9A9-46EF-43D3-9C47-F03A9A9F2FAA}"/>
  </bookViews>
  <sheets>
    <sheet name="rvrben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  <c r="H34" i="1" a="1"/>
  <c r="H34" i="1" s="1"/>
  <c r="D33" i="1"/>
  <c r="D34" i="1" s="1"/>
  <c r="D32" i="1"/>
  <c r="F29" i="1"/>
  <c r="D35" i="1" s="1"/>
  <c r="E29" i="1"/>
  <c r="D29" i="1"/>
  <c r="B29" i="1"/>
  <c r="F28" i="1"/>
  <c r="E28" i="1"/>
  <c r="D28" i="1"/>
  <c r="C35" i="1" s="1"/>
  <c r="C28" i="1"/>
  <c r="B28" i="1"/>
  <c r="C32" i="1" s="1"/>
  <c r="K27" i="1"/>
  <c r="K29" i="1" s="1"/>
  <c r="I27" i="1"/>
  <c r="B38" i="1" s="1"/>
  <c r="F27" i="1"/>
  <c r="E27" i="1"/>
  <c r="D27" i="1"/>
  <c r="B35" i="1" s="1"/>
  <c r="C27" i="1"/>
  <c r="G27" i="1" s="1"/>
  <c r="B36" i="1" s="1"/>
  <c r="B27" i="1"/>
  <c r="B32" i="1" s="1"/>
  <c r="G26" i="1"/>
  <c r="H26" i="1" s="1"/>
  <c r="H25" i="1"/>
  <c r="G25" i="1"/>
  <c r="G24" i="1"/>
  <c r="H24" i="1" s="1"/>
  <c r="G23" i="1"/>
  <c r="H23" i="1" s="1"/>
  <c r="G22" i="1"/>
  <c r="H22" i="1" s="1"/>
  <c r="H21" i="1"/>
  <c r="G21" i="1"/>
  <c r="G20" i="1"/>
  <c r="H20" i="1" s="1"/>
  <c r="G19" i="1"/>
  <c r="H19" i="1" s="1"/>
  <c r="G18" i="1"/>
  <c r="H18" i="1" s="1"/>
  <c r="H17" i="1"/>
  <c r="G17" i="1"/>
  <c r="C16" i="1"/>
  <c r="G16" i="1" s="1"/>
  <c r="H16" i="1" s="1"/>
  <c r="G15" i="1"/>
  <c r="H15" i="1" s="1"/>
  <c r="G14" i="1"/>
  <c r="H14" i="1" s="1"/>
  <c r="G13" i="1"/>
  <c r="H13" i="1" s="1"/>
  <c r="G12" i="1"/>
  <c r="H12" i="1" s="1"/>
  <c r="B2" i="1"/>
  <c r="B1" i="1"/>
  <c r="G28" i="1" l="1"/>
  <c r="C36" i="1" s="1"/>
  <c r="E35" i="1"/>
  <c r="E32" i="1"/>
  <c r="E36" i="1"/>
  <c r="A105" i="1"/>
  <c r="J12" i="1"/>
  <c r="H29" i="1"/>
  <c r="J20" i="1"/>
  <c r="J21" i="1"/>
  <c r="J13" i="1"/>
  <c r="H27" i="1"/>
  <c r="K28" i="1"/>
  <c r="C29" i="1"/>
  <c r="G29" i="1" s="1"/>
  <c r="D36" i="1" s="1"/>
  <c r="B33" i="1"/>
  <c r="C33" i="1"/>
  <c r="C34" i="1" s="1"/>
  <c r="B4" i="1"/>
  <c r="H32" i="1" s="1"/>
  <c r="H35" i="1" s="1"/>
  <c r="H28" i="1"/>
  <c r="I35" i="1" l="1"/>
  <c r="B44" i="1" s="1"/>
  <c r="H36" i="1"/>
  <c r="J18" i="1"/>
  <c r="J29" i="1"/>
  <c r="D37" i="1"/>
  <c r="D42" i="1"/>
  <c r="J25" i="1"/>
  <c r="J26" i="1"/>
  <c r="J19" i="1"/>
  <c r="J28" i="1"/>
  <c r="C37" i="1"/>
  <c r="C42" i="1" s="1"/>
  <c r="J15" i="1"/>
  <c r="J27" i="1"/>
  <c r="B37" i="1"/>
  <c r="J24" i="1"/>
  <c r="J17" i="1"/>
  <c r="B34" i="1"/>
  <c r="E34" i="1" s="1"/>
  <c r="E33" i="1"/>
  <c r="J16" i="1"/>
  <c r="J23" i="1"/>
  <c r="J22" i="1"/>
  <c r="J14" i="1"/>
  <c r="B42" i="1" l="1"/>
  <c r="B45" i="1"/>
  <c r="A106" i="1" s="1"/>
  <c r="E37" i="1"/>
  <c r="A97" i="1" s="1"/>
  <c r="B43" i="1"/>
  <c r="A100" i="1"/>
  <c r="A103" i="1"/>
  <c r="C38" i="1"/>
  <c r="H37" i="1"/>
  <c r="I37" i="1" s="1"/>
  <c r="A98" i="1" s="1"/>
  <c r="I36" i="1"/>
  <c r="A102" i="1" l="1"/>
  <c r="E4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<sst xmlns="http://schemas.openxmlformats.org/spreadsheetml/2006/main" count="55" uniqueCount="43">
  <si>
    <t>Home Cost</t>
  </si>
  <si>
    <t>Date Closed</t>
  </si>
  <si>
    <t>Home Repair Cost + Cost to Rent</t>
  </si>
  <si>
    <t>Lease start</t>
  </si>
  <si>
    <t>Closing Costs</t>
  </si>
  <si>
    <t>Address</t>
  </si>
  <si>
    <t>317 west riverbend drive, sunrise, FL, 33428</t>
  </si>
  <si>
    <t>Total Cost</t>
  </si>
  <si>
    <t>Current Market Estimate</t>
  </si>
  <si>
    <t>Rent</t>
  </si>
  <si>
    <t>Garden</t>
  </si>
  <si>
    <t>Pool</t>
  </si>
  <si>
    <t>HOA</t>
  </si>
  <si>
    <t>Date</t>
  </si>
  <si>
    <t>Rent Income</t>
  </si>
  <si>
    <t>Maintenance</t>
  </si>
  <si>
    <t>HOA Payments</t>
  </si>
  <si>
    <t>Total Expenses</t>
  </si>
  <si>
    <t>Net Income</t>
  </si>
  <si>
    <t>Property Tax</t>
  </si>
  <si>
    <t>Return On Investment (ROI)</t>
  </si>
  <si>
    <t>Property Market Estimate</t>
  </si>
  <si>
    <t>Actual Total</t>
  </si>
  <si>
    <t>Plan</t>
  </si>
  <si>
    <t>YE Target</t>
  </si>
  <si>
    <t>Actual</t>
  </si>
  <si>
    <t>Delta to Plan</t>
  </si>
  <si>
    <t>Home Performance</t>
  </si>
  <si>
    <t>Gross Income</t>
  </si>
  <si>
    <t>Purchase Price + Repairs</t>
  </si>
  <si>
    <t>Maintenance as %</t>
  </si>
  <si>
    <t>Current Value</t>
  </si>
  <si>
    <t>HOA, Pool, Garden</t>
  </si>
  <si>
    <t>Appreciation</t>
  </si>
  <si>
    <t>Monthly Gain</t>
  </si>
  <si>
    <t>Annualized Gain</t>
  </si>
  <si>
    <t>Months Owned</t>
  </si>
  <si>
    <t>Investment Performance</t>
  </si>
  <si>
    <t>Estimated Closing Costs</t>
  </si>
  <si>
    <t>Return on Investment (Net Income)</t>
  </si>
  <si>
    <t>ROI Post Property Tax</t>
  </si>
  <si>
    <t>Home Value Appreciation</t>
  </si>
  <si>
    <t>ROI Post Tax + Appreciation+Rent - Closing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</si>
</sst>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1" xfId="0" applyFont="1" applyBorder="1"/>
    <xf numFmtId="164" fontId="0" fillId="0" borderId="1" xfId="1" applyNumberFormat="1" applyFont="1" applyBorder="1"/>
    <xf numFmtId="0" fontId="2" fillId="0" borderId="1" xfId="0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7" fontId="2" fillId="3" borderId="1" xfId="0" applyNumberFormat="1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44" fontId="0" fillId="0" borderId="1" xfId="1" applyFont="1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0" fillId="4" borderId="1" xfId="1" applyNumberFormat="1" applyFont="1" applyFill="1" applyBorder="1" applyAlignment="1">
      <alignment horizontal="center"/>
    </xf>
    <xf numFmtId="10" fontId="0" fillId="4" borderId="1" xfId="2" applyNumberFormat="1" applyFont="1" applyFill="1" applyBorder="1" applyAlignment="1">
      <alignment horizontal="center"/>
    </xf>
    <xf numFmtId="164" fontId="0" fillId="5" borderId="1" xfId="1" applyNumberFormat="1" applyFont="1" applyFill="1" applyBorder="1" applyAlignment="1">
      <alignment horizontal="center"/>
    </xf>
    <xf numFmtId="9" fontId="0" fillId="5" borderId="1" xfId="2" applyFont="1" applyFill="1" applyBorder="1" applyAlignment="1">
      <alignment horizontal="center"/>
    </xf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164" fontId="0" fillId="0" borderId="1" xfId="0" applyNumberFormat="1" applyBorder="1" applyAlignment="1">
      <alignment horizontal="center"/>
    </xf>
    <xf numFmtId="0" fontId="0" fillId="0" borderId="1" xfId="0" applyBorder="1"/>
    <xf numFmtId="10" fontId="0" fillId="0" borderId="0" xfId="2" applyNumberFormat="1" applyFont="1"/>
    <xf numFmtId="9" fontId="0" fillId="0" borderId="1" xfId="0" applyNumberFormat="1" applyBorder="1"/>
    <xf numFmtId="10" fontId="0" fillId="0" borderId="3" xfId="2" applyNumberFormat="1" applyFont="1" applyBorder="1" applyAlignment="1">
      <alignment horizontal="center"/>
    </xf>
    <xf numFmtId="0" fontId="2" fillId="2" borderId="1" xfId="0" applyFont="1" applyFill="1" applyBorder="1"/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2" fillId="6" borderId="1" xfId="0" applyFont="1" applyFill="1" applyBorder="1"/>
    <xf numFmtId="0" fontId="0" fillId="0" borderId="0" xfId="0" applyAlignment="1">
      <alignment horizontal="left" vertical="top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Income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rvrbend!$A$32:$A$42</c15:sqref>
                  </c15:fullRef>
                </c:ext>
              </c:extLst>
              <c:f>(rvrbend!$A$32:$A$33,rvrbend!$A$35:$A$41)</c:f>
              <c:strCache>
                <c:ptCount val="9"/>
                <c:pt idx="0">
                  <c:v>Gross Income</c:v>
                </c:pt>
                <c:pt idx="1">
                  <c:v>Maintenance</c:v>
                </c:pt>
                <c:pt idx="2">
                  <c:v>HOA, Pool, Garden</c:v>
                </c:pt>
                <c:pt idx="3">
                  <c:v>Total Expenses</c:v>
                </c:pt>
                <c:pt idx="4">
                  <c:v>Net Income</c:v>
                </c:pt>
                <c:pt idx="5">
                  <c:v>Property Tax</c:v>
                </c:pt>
                <c:pt idx="8">
                  <c:v>Investment Performance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rvrbend!$B$32:$B$42</c15:sqref>
                  </c15:fullRef>
                </c:ext>
              </c:extLst>
              <c:f>(rvrbend!$B$32:$B$33,rvrbend!$B$35:$B$41)</c:f>
              <c:numCache>
                <c:formatCode>_("$"* #,##0_);_("$"* \(#,##0\);_("$"* "-"??_);_(@_)</c:formatCode>
                <c:ptCount val="9"/>
                <c:pt idx="0">
                  <c:v>41900</c:v>
                </c:pt>
                <c:pt idx="1">
                  <c:v>1614</c:v>
                </c:pt>
                <c:pt idx="2">
                  <c:v>1548</c:v>
                </c:pt>
                <c:pt idx="3">
                  <c:v>3162</c:v>
                </c:pt>
                <c:pt idx="4">
                  <c:v>38738</c:v>
                </c:pt>
                <c:pt idx="5">
                  <c:v>10360</c:v>
                </c:pt>
                <c:pt idx="8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1-4358-8C63-0AC13E52CFF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2235936"/>
        <c:axId val="172232096"/>
      </c:barChart>
      <c:catAx>
        <c:axId val="17223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32096"/>
        <c:crosses val="autoZero"/>
        <c:auto val="1"/>
        <c:lblAlgn val="ctr"/>
        <c:lblOffset val="100"/>
        <c:noMultiLvlLbl val="0"/>
      </c:catAx>
      <c:valAx>
        <c:axId val="17223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35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Business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rvrbend!$C$11</c:f>
              <c:strCache>
                <c:ptCount val="1"/>
                <c:pt idx="0">
                  <c:v>Maintenance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rvrbend!$A$12:$A$26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rvrbend!$C$12:$C$26</c:f>
              <c:numCache>
                <c:formatCode>_("$"* #,##0_);_("$"* \(#,##0\);_("$"* "-"??_);_(@_)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804</c:v>
                </c:pt>
                <c:pt idx="5">
                  <c:v>252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</c:v>
                </c:pt>
                <c:pt idx="10">
                  <c:v>0</c:v>
                </c:pt>
                <c:pt idx="11">
                  <c:v>444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8-45FB-B517-B8F372375F97}"/>
            </c:ext>
          </c:extLst>
        </c:ser>
        <c:ser>
          <c:idx val="2"/>
          <c:order val="2"/>
          <c:tx>
            <c:strRef>
              <c:f>rvrbend!$D$11</c:f>
              <c:strCache>
                <c:ptCount val="1"/>
                <c:pt idx="0">
                  <c:v>Pool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rvrbend!$A$12:$A$26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rvrbend!$D$12:$D$26</c:f>
              <c:numCache>
                <c:formatCode>_("$"* #,##0_);_("$"* \(#,##0\);_("$"* "-"??_);_(@_)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B8-45FB-B517-B8F372375F97}"/>
            </c:ext>
          </c:extLst>
        </c:ser>
        <c:ser>
          <c:idx val="3"/>
          <c:order val="3"/>
          <c:tx>
            <c:strRef>
              <c:f>rvrbend!$E$11</c:f>
              <c:strCache>
                <c:ptCount val="1"/>
                <c:pt idx="0">
                  <c:v>Garden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rvrbend!$A$12:$A$26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rvrbend!$E$12:$E$26</c:f>
              <c:numCache>
                <c:formatCode>_("$"* #,##0_);_("$"* \(#,##0\);_("$"* "-"??_);_(@_)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B8-45FB-B517-B8F372375F97}"/>
            </c:ext>
          </c:extLst>
        </c:ser>
        <c:ser>
          <c:idx val="4"/>
          <c:order val="4"/>
          <c:tx>
            <c:strRef>
              <c:f>rvrbend!$F$11</c:f>
              <c:strCache>
                <c:ptCount val="1"/>
                <c:pt idx="0">
                  <c:v>HOA Payments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rvrbend!$A$12:$A$26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rvrbend!$F$12:$F$26</c:f>
              <c:numCache>
                <c:formatCode>_("$"* #,##0_);_("$"* \(#,##0\);_("$"* "-"??_);_(@_)</c:formatCode>
                <c:ptCount val="15"/>
                <c:pt idx="0">
                  <c:v>129</c:v>
                </c:pt>
                <c:pt idx="1">
                  <c:v>129</c:v>
                </c:pt>
                <c:pt idx="2">
                  <c:v>129</c:v>
                </c:pt>
                <c:pt idx="3">
                  <c:v>129</c:v>
                </c:pt>
                <c:pt idx="4">
                  <c:v>129</c:v>
                </c:pt>
                <c:pt idx="5">
                  <c:v>129</c:v>
                </c:pt>
                <c:pt idx="6">
                  <c:v>129</c:v>
                </c:pt>
                <c:pt idx="7">
                  <c:v>129</c:v>
                </c:pt>
                <c:pt idx="8">
                  <c:v>129</c:v>
                </c:pt>
                <c:pt idx="9">
                  <c:v>129</c:v>
                </c:pt>
                <c:pt idx="10">
                  <c:v>129</c:v>
                </c:pt>
                <c:pt idx="11">
                  <c:v>129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B8-45FB-B517-B8F372375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72192"/>
        <c:axId val="366702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rvrbend!$B$11</c15:sqref>
                        </c15:formulaRef>
                      </c:ext>
                    </c:extLst>
                    <c:strCache>
                      <c:ptCount val="1"/>
                      <c:pt idx="0">
                        <c:v>Rent Income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rvrbend!$A$12:$A$26</c15:sqref>
                        </c15:formulaRef>
                      </c:ext>
                    </c:extLst>
                    <c:numCache>
                      <c:formatCode>mmm\-yy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rvrbend!$B$12:$B$26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5"/>
                      <c:pt idx="0">
                        <c:v>3900</c:v>
                      </c:pt>
                      <c:pt idx="1">
                        <c:v>3900</c:v>
                      </c:pt>
                      <c:pt idx="2">
                        <c:v>3900</c:v>
                      </c:pt>
                      <c:pt idx="3">
                        <c:v>0</c:v>
                      </c:pt>
                      <c:pt idx="4">
                        <c:v>3775</c:v>
                      </c:pt>
                      <c:pt idx="5">
                        <c:v>3775</c:v>
                      </c:pt>
                      <c:pt idx="6">
                        <c:v>3775</c:v>
                      </c:pt>
                      <c:pt idx="7">
                        <c:v>3775</c:v>
                      </c:pt>
                      <c:pt idx="8">
                        <c:v>3775</c:v>
                      </c:pt>
                      <c:pt idx="9">
                        <c:v>3775</c:v>
                      </c:pt>
                      <c:pt idx="10">
                        <c:v>3775</c:v>
                      </c:pt>
                      <c:pt idx="11">
                        <c:v>3775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DEB8-45FB-B517-B8F372375F97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rvrbend!$G$11</c15:sqref>
                        </c15:formulaRef>
                      </c:ext>
                    </c:extLst>
                    <c:strCache>
                      <c:ptCount val="1"/>
                      <c:pt idx="0">
                        <c:v>Total Expenses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rvrbend!$A$12:$A$26</c15:sqref>
                        </c15:formulaRef>
                      </c:ext>
                    </c:extLst>
                    <c:numCache>
                      <c:formatCode>mmm\-yy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rvrbend!$G$12:$G$26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5"/>
                      <c:pt idx="0">
                        <c:v>129</c:v>
                      </c:pt>
                      <c:pt idx="1">
                        <c:v>129</c:v>
                      </c:pt>
                      <c:pt idx="2">
                        <c:v>129</c:v>
                      </c:pt>
                      <c:pt idx="3">
                        <c:v>129</c:v>
                      </c:pt>
                      <c:pt idx="4">
                        <c:v>933</c:v>
                      </c:pt>
                      <c:pt idx="5">
                        <c:v>381</c:v>
                      </c:pt>
                      <c:pt idx="6">
                        <c:v>129</c:v>
                      </c:pt>
                      <c:pt idx="7">
                        <c:v>129</c:v>
                      </c:pt>
                      <c:pt idx="8">
                        <c:v>129</c:v>
                      </c:pt>
                      <c:pt idx="9">
                        <c:v>243</c:v>
                      </c:pt>
                      <c:pt idx="10">
                        <c:v>129</c:v>
                      </c:pt>
                      <c:pt idx="11">
                        <c:v>573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EB8-45FB-B517-B8F372375F97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rvrbend!$H$11</c15:sqref>
                        </c15:formulaRef>
                      </c:ext>
                    </c:extLst>
                    <c:strCache>
                      <c:ptCount val="1"/>
                      <c:pt idx="0">
                        <c:v>Net Income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rvrbend!$A$12:$A$26</c15:sqref>
                        </c15:formulaRef>
                      </c:ext>
                    </c:extLst>
                    <c:numCache>
                      <c:formatCode>mmm\-yy</c:formatCode>
                      <c:ptCount val="15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  <c:pt idx="12">
                        <c:v>46023</c:v>
                      </c:pt>
                      <c:pt idx="13">
                        <c:v>46054</c:v>
                      </c:pt>
                      <c:pt idx="14">
                        <c:v>46082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rvrbend!$H$12:$H$26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5"/>
                      <c:pt idx="0">
                        <c:v>3771</c:v>
                      </c:pt>
                      <c:pt idx="1">
                        <c:v>3771</c:v>
                      </c:pt>
                      <c:pt idx="2">
                        <c:v>3771</c:v>
                      </c:pt>
                      <c:pt idx="3">
                        <c:v>-129</c:v>
                      </c:pt>
                      <c:pt idx="4">
                        <c:v>2842</c:v>
                      </c:pt>
                      <c:pt idx="5">
                        <c:v>3394</c:v>
                      </c:pt>
                      <c:pt idx="6">
                        <c:v>3646</c:v>
                      </c:pt>
                      <c:pt idx="7">
                        <c:v>3646</c:v>
                      </c:pt>
                      <c:pt idx="8">
                        <c:v>3646</c:v>
                      </c:pt>
                      <c:pt idx="9">
                        <c:v>3532</c:v>
                      </c:pt>
                      <c:pt idx="10">
                        <c:v>3646</c:v>
                      </c:pt>
                      <c:pt idx="11">
                        <c:v>3202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EB8-45FB-B517-B8F372375F97}"/>
                  </c:ext>
                </c:extLst>
              </c15:ser>
            </c15:filteredBarSeries>
          </c:ext>
        </c:extLst>
      </c:barChart>
      <c:dateAx>
        <c:axId val="3667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0272"/>
        <c:crosses val="autoZero"/>
        <c:auto val="1"/>
        <c:lblOffset val="100"/>
        <c:baseTimeUnit val="months"/>
      </c:dateAx>
      <c:valAx>
        <c:axId val="36670272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Income</a:t>
            </a:r>
            <a:r>
              <a:rPr lang="en-US" baseline="0"/>
              <a:t> and Expense Statement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rvrbend!$B$11</c:f>
              <c:strCache>
                <c:ptCount val="1"/>
                <c:pt idx="0">
                  <c:v>Rent Income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rvrbend!$A$12:$A$26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rvrbend!$B$12:$B$26</c:f>
              <c:numCache>
                <c:formatCode>_("$"* #,##0_);_("$"* \(#,##0\);_("$"* "-"??_);_(@_)</c:formatCode>
                <c:ptCount val="15"/>
                <c:pt idx="0">
                  <c:v>3900</c:v>
                </c:pt>
                <c:pt idx="1">
                  <c:v>3900</c:v>
                </c:pt>
                <c:pt idx="2">
                  <c:v>3900</c:v>
                </c:pt>
                <c:pt idx="3">
                  <c:v>0</c:v>
                </c:pt>
                <c:pt idx="4">
                  <c:v>3775</c:v>
                </c:pt>
                <c:pt idx="5">
                  <c:v>3775</c:v>
                </c:pt>
                <c:pt idx="6">
                  <c:v>3775</c:v>
                </c:pt>
                <c:pt idx="7">
                  <c:v>3775</c:v>
                </c:pt>
                <c:pt idx="8">
                  <c:v>3775</c:v>
                </c:pt>
                <c:pt idx="9">
                  <c:v>3775</c:v>
                </c:pt>
                <c:pt idx="10">
                  <c:v>3775</c:v>
                </c:pt>
                <c:pt idx="11">
                  <c:v>3775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5-4137-BCA5-C6F776A43EC5}"/>
            </c:ext>
          </c:extLst>
        </c:ser>
        <c:ser>
          <c:idx val="1"/>
          <c:order val="1"/>
          <c:tx>
            <c:strRef>
              <c:f>rvrbend!$G$11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rvrbend!$A$12:$A$26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rvrbend!$G$12:$G$26</c:f>
              <c:numCache>
                <c:formatCode>_("$"* #,##0_);_("$"* \(#,##0\);_("$"* "-"??_);_(@_)</c:formatCode>
                <c:ptCount val="15"/>
                <c:pt idx="0">
                  <c:v>129</c:v>
                </c:pt>
                <c:pt idx="1">
                  <c:v>129</c:v>
                </c:pt>
                <c:pt idx="2">
                  <c:v>129</c:v>
                </c:pt>
                <c:pt idx="3">
                  <c:v>129</c:v>
                </c:pt>
                <c:pt idx="4">
                  <c:v>933</c:v>
                </c:pt>
                <c:pt idx="5">
                  <c:v>381</c:v>
                </c:pt>
                <c:pt idx="6">
                  <c:v>129</c:v>
                </c:pt>
                <c:pt idx="7">
                  <c:v>129</c:v>
                </c:pt>
                <c:pt idx="8">
                  <c:v>129</c:v>
                </c:pt>
                <c:pt idx="9">
                  <c:v>243</c:v>
                </c:pt>
                <c:pt idx="10">
                  <c:v>129</c:v>
                </c:pt>
                <c:pt idx="11">
                  <c:v>573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5-4137-BCA5-C6F776A43EC5}"/>
            </c:ext>
          </c:extLst>
        </c:ser>
        <c:ser>
          <c:idx val="2"/>
          <c:order val="2"/>
          <c:tx>
            <c:strRef>
              <c:f>rvrbend!$H$11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rvrbend!$A$12:$A$26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rvrbend!$H$12:$H$26</c:f>
              <c:numCache>
                <c:formatCode>_("$"* #,##0_);_("$"* \(#,##0\);_("$"* "-"??_);_(@_)</c:formatCode>
                <c:ptCount val="15"/>
                <c:pt idx="0">
                  <c:v>3771</c:v>
                </c:pt>
                <c:pt idx="1">
                  <c:v>3771</c:v>
                </c:pt>
                <c:pt idx="2">
                  <c:v>3771</c:v>
                </c:pt>
                <c:pt idx="3">
                  <c:v>-129</c:v>
                </c:pt>
                <c:pt idx="4">
                  <c:v>2842</c:v>
                </c:pt>
                <c:pt idx="5">
                  <c:v>3394</c:v>
                </c:pt>
                <c:pt idx="6">
                  <c:v>3646</c:v>
                </c:pt>
                <c:pt idx="7">
                  <c:v>3646</c:v>
                </c:pt>
                <c:pt idx="8">
                  <c:v>3646</c:v>
                </c:pt>
                <c:pt idx="9">
                  <c:v>3532</c:v>
                </c:pt>
                <c:pt idx="10">
                  <c:v>3646</c:v>
                </c:pt>
                <c:pt idx="11">
                  <c:v>3202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05-4137-BCA5-C6F776A43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6711552"/>
        <c:axId val="36710592"/>
      </c:barChart>
      <c:dateAx>
        <c:axId val="3671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10592"/>
        <c:crosses val="autoZero"/>
        <c:auto val="1"/>
        <c:lblOffset val="100"/>
        <c:baseTimeUnit val="months"/>
      </c:dateAx>
      <c:valAx>
        <c:axId val="36710592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1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rvrbend!$K$11</c:f>
              <c:strCache>
                <c:ptCount val="1"/>
                <c:pt idx="0">
                  <c:v>Property Market Estimate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rvrbend!$A$12:$A$26</c:f>
              <c:numCache>
                <c:formatCode>mmm\-yy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xVal>
          <c:yVal>
            <c:numRef>
              <c:f>rvrbend!$K$12:$K$26</c:f>
              <c:numCache>
                <c:formatCode>_("$"* #,##0_);_("$"* \(#,##0\);_("$"* "-"??_);_(@_)</c:formatCode>
                <c:ptCount val="15"/>
                <c:pt idx="0">
                  <c:v>525000</c:v>
                </c:pt>
                <c:pt idx="1">
                  <c:v>559317</c:v>
                </c:pt>
                <c:pt idx="2">
                  <c:v>612904</c:v>
                </c:pt>
                <c:pt idx="3">
                  <c:v>571668</c:v>
                </c:pt>
                <c:pt idx="4">
                  <c:v>588120</c:v>
                </c:pt>
                <c:pt idx="5">
                  <c:v>531449</c:v>
                </c:pt>
                <c:pt idx="6">
                  <c:v>615702</c:v>
                </c:pt>
                <c:pt idx="7">
                  <c:v>542991</c:v>
                </c:pt>
                <c:pt idx="8">
                  <c:v>599873</c:v>
                </c:pt>
                <c:pt idx="9">
                  <c:v>574665</c:v>
                </c:pt>
                <c:pt idx="10">
                  <c:v>618000</c:v>
                </c:pt>
                <c:pt idx="11">
                  <c:v>615500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2F-4537-9FC3-5445CA66C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587552"/>
        <c:axId val="502601952"/>
      </c:scatterChart>
      <c:valAx>
        <c:axId val="50258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601952"/>
        <c:crosses val="autoZero"/>
        <c:crossBetween val="midCat"/>
      </c:valAx>
      <c:valAx>
        <c:axId val="50260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87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57</xdr:row>
      <xdr:rowOff>42862</xdr:rowOff>
    </xdr:from>
    <xdr:to>
      <xdr:col>5</xdr:col>
      <xdr:colOff>82925</xdr:colOff>
      <xdr:row>77</xdr:row>
      <xdr:rowOff>4482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61C69D-52BC-4F6D-AB47-84820130E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275156</xdr:colOff>
      <xdr:row>58</xdr:row>
      <xdr:rowOff>28575</xdr:rowOff>
    </xdr:from>
    <xdr:to>
      <xdr:col>14</xdr:col>
      <xdr:colOff>231874</xdr:colOff>
      <xdr:row>77</xdr:row>
      <xdr:rowOff>1401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5B998A-7A38-40F4-8E2C-9F5247D5B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78</xdr:row>
      <xdr:rowOff>152220</xdr:rowOff>
    </xdr:from>
    <xdr:to>
      <xdr:col>9</xdr:col>
      <xdr:colOff>812797</xdr:colOff>
      <xdr:row>95</xdr:row>
      <xdr:rowOff>12860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7176D1-4284-470C-B8C0-AF3410CF2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531018</xdr:colOff>
      <xdr:row>9</xdr:row>
      <xdr:rowOff>128587</xdr:rowOff>
    </xdr:from>
    <xdr:to>
      <xdr:col>18</xdr:col>
      <xdr:colOff>569118</xdr:colOff>
      <xdr:row>23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63A114-CF26-4B20-8D7C-D0544E95A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ef3c75976f97a74/0%20-%20Luxor%20Developments/Calculators.xlsx" TargetMode="External"/><Relationship Id="rId1" Type="http://schemas.openxmlformats.org/officeDocument/2006/relationships/externalLinkPath" Target="https://d.docs.live.net/bef3c75976f97a74/0%20-%20Luxor%20Developments/Calculat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rvrbend"/>
      <sheetName val="Buena"/>
      <sheetName val="Rental Assessment"/>
      <sheetName val="Tiling"/>
      <sheetName val="Rental Houses"/>
      <sheetName val="Propos"/>
      <sheetName val="Sheet2"/>
      <sheetName val="PM Profitability"/>
      <sheetName val="Contractor List"/>
      <sheetName val="Price Comparisons"/>
      <sheetName val="Nefertari Example"/>
      <sheetName val="Retirement Plan 2025"/>
      <sheetName val="Updated Retirement Projection"/>
      <sheetName val="End of Year Finances"/>
      <sheetName val="Moving Cost"/>
    </sheetNames>
    <sheetDataSet>
      <sheetData sheetId="0"/>
      <sheetData sheetId="1">
        <row r="11">
          <cell r="B11" t="str">
            <v>Rent Income</v>
          </cell>
          <cell r="C11" t="str">
            <v>Maintenance</v>
          </cell>
          <cell r="D11" t="str">
            <v>Pool</v>
          </cell>
          <cell r="E11" t="str">
            <v>Garden</v>
          </cell>
          <cell r="F11" t="str">
            <v>HOA Payments</v>
          </cell>
          <cell r="G11" t="str">
            <v>Total Expenses</v>
          </cell>
          <cell r="H11" t="str">
            <v>Net Income</v>
          </cell>
          <cell r="K11" t="str">
            <v>Property Market Estimate</v>
          </cell>
        </row>
        <row r="12">
          <cell r="A12">
            <v>45658</v>
          </cell>
          <cell r="B12">
            <v>3900</v>
          </cell>
          <cell r="C12">
            <v>0</v>
          </cell>
          <cell r="D12">
            <v>0</v>
          </cell>
          <cell r="E12">
            <v>0</v>
          </cell>
          <cell r="F12">
            <v>129</v>
          </cell>
          <cell r="G12">
            <v>129</v>
          </cell>
          <cell r="H12">
            <v>3771</v>
          </cell>
          <cell r="K12">
            <v>525000</v>
          </cell>
        </row>
        <row r="13">
          <cell r="A13">
            <v>45689</v>
          </cell>
          <cell r="B13">
            <v>3900</v>
          </cell>
          <cell r="C13">
            <v>0</v>
          </cell>
          <cell r="D13">
            <v>0</v>
          </cell>
          <cell r="E13">
            <v>0</v>
          </cell>
          <cell r="F13">
            <v>129</v>
          </cell>
          <cell r="G13">
            <v>129</v>
          </cell>
          <cell r="H13">
            <v>3771</v>
          </cell>
          <cell r="K13">
            <v>559317</v>
          </cell>
        </row>
        <row r="14">
          <cell r="A14">
            <v>45717</v>
          </cell>
          <cell r="B14">
            <v>3900</v>
          </cell>
          <cell r="C14">
            <v>0</v>
          </cell>
          <cell r="D14">
            <v>0</v>
          </cell>
          <cell r="E14">
            <v>0</v>
          </cell>
          <cell r="F14">
            <v>129</v>
          </cell>
          <cell r="G14">
            <v>129</v>
          </cell>
          <cell r="H14">
            <v>3771</v>
          </cell>
          <cell r="K14">
            <v>612904</v>
          </cell>
        </row>
        <row r="15">
          <cell r="A15">
            <v>45748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129</v>
          </cell>
          <cell r="G15">
            <v>129</v>
          </cell>
          <cell r="H15">
            <v>-129</v>
          </cell>
          <cell r="K15">
            <v>571668</v>
          </cell>
        </row>
        <row r="16">
          <cell r="A16">
            <v>45778</v>
          </cell>
          <cell r="B16">
            <v>3775</v>
          </cell>
          <cell r="C16">
            <v>804</v>
          </cell>
          <cell r="D16">
            <v>0</v>
          </cell>
          <cell r="E16">
            <v>0</v>
          </cell>
          <cell r="F16">
            <v>129</v>
          </cell>
          <cell r="G16">
            <v>933</v>
          </cell>
          <cell r="H16">
            <v>2842</v>
          </cell>
          <cell r="K16">
            <v>588120</v>
          </cell>
        </row>
        <row r="17">
          <cell r="A17">
            <v>45809</v>
          </cell>
          <cell r="B17">
            <v>3775</v>
          </cell>
          <cell r="C17">
            <v>252</v>
          </cell>
          <cell r="D17">
            <v>0</v>
          </cell>
          <cell r="E17">
            <v>0</v>
          </cell>
          <cell r="F17">
            <v>129</v>
          </cell>
          <cell r="G17">
            <v>381</v>
          </cell>
          <cell r="H17">
            <v>3394</v>
          </cell>
          <cell r="K17">
            <v>531449</v>
          </cell>
        </row>
        <row r="18">
          <cell r="A18">
            <v>45839</v>
          </cell>
          <cell r="B18">
            <v>3775</v>
          </cell>
          <cell r="C18">
            <v>0</v>
          </cell>
          <cell r="D18">
            <v>0</v>
          </cell>
          <cell r="E18">
            <v>0</v>
          </cell>
          <cell r="F18">
            <v>129</v>
          </cell>
          <cell r="G18">
            <v>129</v>
          </cell>
          <cell r="H18">
            <v>3646</v>
          </cell>
          <cell r="K18">
            <v>615702</v>
          </cell>
        </row>
        <row r="19">
          <cell r="A19">
            <v>45870</v>
          </cell>
          <cell r="B19">
            <v>3775</v>
          </cell>
          <cell r="C19">
            <v>0</v>
          </cell>
          <cell r="D19">
            <v>0</v>
          </cell>
          <cell r="E19">
            <v>0</v>
          </cell>
          <cell r="F19">
            <v>129</v>
          </cell>
          <cell r="G19">
            <v>129</v>
          </cell>
          <cell r="H19">
            <v>3646</v>
          </cell>
          <cell r="K19">
            <v>542991</v>
          </cell>
        </row>
        <row r="20">
          <cell r="A20">
            <v>45901</v>
          </cell>
          <cell r="B20">
            <v>3775</v>
          </cell>
          <cell r="C20">
            <v>0</v>
          </cell>
          <cell r="D20">
            <v>0</v>
          </cell>
          <cell r="E20">
            <v>0</v>
          </cell>
          <cell r="F20">
            <v>129</v>
          </cell>
          <cell r="G20">
            <v>129</v>
          </cell>
          <cell r="H20">
            <v>3646</v>
          </cell>
          <cell r="K20">
            <v>599873</v>
          </cell>
        </row>
        <row r="21">
          <cell r="A21">
            <v>45931</v>
          </cell>
          <cell r="B21">
            <v>3775</v>
          </cell>
          <cell r="C21">
            <v>114</v>
          </cell>
          <cell r="D21">
            <v>0</v>
          </cell>
          <cell r="E21">
            <v>0</v>
          </cell>
          <cell r="F21">
            <v>129</v>
          </cell>
          <cell r="G21">
            <v>243</v>
          </cell>
          <cell r="H21">
            <v>3532</v>
          </cell>
          <cell r="K21">
            <v>574665</v>
          </cell>
        </row>
        <row r="22">
          <cell r="A22">
            <v>45962</v>
          </cell>
          <cell r="B22">
            <v>3775</v>
          </cell>
          <cell r="C22">
            <v>0</v>
          </cell>
          <cell r="D22">
            <v>0</v>
          </cell>
          <cell r="E22">
            <v>0</v>
          </cell>
          <cell r="F22">
            <v>129</v>
          </cell>
          <cell r="G22">
            <v>129</v>
          </cell>
          <cell r="H22">
            <v>3646</v>
          </cell>
          <cell r="K22">
            <v>618000</v>
          </cell>
        </row>
        <row r="23">
          <cell r="A23">
            <v>45992</v>
          </cell>
          <cell r="B23">
            <v>3775</v>
          </cell>
          <cell r="C23">
            <v>444</v>
          </cell>
          <cell r="D23">
            <v>0</v>
          </cell>
          <cell r="E23">
            <v>0</v>
          </cell>
          <cell r="F23">
            <v>129</v>
          </cell>
          <cell r="G23">
            <v>573</v>
          </cell>
          <cell r="H23">
            <v>3202</v>
          </cell>
          <cell r="K23">
            <v>615500</v>
          </cell>
        </row>
        <row r="24">
          <cell r="A24">
            <v>46023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>
            <v>46054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A26">
            <v>46082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32">
          <cell r="A32" t="str">
            <v>Gross Income</v>
          </cell>
          <cell r="B32">
            <v>41900</v>
          </cell>
        </row>
        <row r="33">
          <cell r="A33" t="str">
            <v>Maintenance</v>
          </cell>
          <cell r="B33">
            <v>1614</v>
          </cell>
        </row>
        <row r="34">
          <cell r="A34" t="str">
            <v>Maintenance as %</v>
          </cell>
          <cell r="B34">
            <v>3.8520286396181387E-2</v>
          </cell>
        </row>
        <row r="35">
          <cell r="A35" t="str">
            <v>HOA, Pool, Garden</v>
          </cell>
          <cell r="B35">
            <v>1548</v>
          </cell>
        </row>
        <row r="36">
          <cell r="A36" t="str">
            <v>Total Expenses</v>
          </cell>
          <cell r="B36">
            <v>3162</v>
          </cell>
        </row>
        <row r="37">
          <cell r="A37" t="str">
            <v>Net Income</v>
          </cell>
          <cell r="B37">
            <v>38738</v>
          </cell>
        </row>
        <row r="38">
          <cell r="A38" t="str">
            <v>Property Tax</v>
          </cell>
          <cell r="B38">
            <v>10360</v>
          </cell>
        </row>
        <row r="41">
          <cell r="A41" t="str">
            <v>Investment Performance</v>
          </cell>
          <cell r="B41" t="str">
            <v>Actual</v>
          </cell>
        </row>
        <row r="42">
          <cell r="A42" t="str">
            <v>Return on Investment (Net Income)</v>
          </cell>
          <cell r="B42">
            <v>7.835387683607134E-2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D45B-73AE-4EB5-8CB9-D2B9CDD65009}">
  <dimension ref="A1:L106"/>
  <sheetViews>
    <sheetView tabSelected="1" topLeftCell="A100" workbookViewId="0">
      <selection activeCell="B112" sqref="B112"/>
    </sheetView>
  </sheetViews>
  <sheetFormatPr defaultRowHeight="14.5" x14ac:dyDescent="0.35"/>
  <cols>
    <col min="1" max="1" width="42.08984375" customWidth="1"/>
    <col min="2" max="2" width="11.08984375" bestFit="1" customWidth="1"/>
    <col min="3" max="3" width="11.36328125" bestFit="1" customWidth="1"/>
    <col min="4" max="4" width="11" bestFit="1" customWidth="1"/>
    <col min="5" max="5" width="13.54296875" bestFit="1" customWidth="1"/>
    <col min="6" max="6" width="13" bestFit="1" customWidth="1"/>
    <col min="7" max="7" width="20.90625" customWidth="1"/>
    <col min="8" max="8" width="11.81640625" bestFit="1" customWidth="1"/>
    <col min="9" max="9" width="11" bestFit="1" customWidth="1"/>
    <col min="10" max="10" width="15.6328125" customWidth="1"/>
    <col min="11" max="11" width="21.81640625" bestFit="1" customWidth="1"/>
  </cols>
  <sheetData>
    <row r="1" spans="1:11" x14ac:dyDescent="0.35">
      <c r="A1" s="1" t="s">
        <v>0</v>
      </c>
      <c r="B1" s="2">
        <f>288000+200000</f>
        <v>488000</v>
      </c>
      <c r="D1" s="3" t="s">
        <v>1</v>
      </c>
      <c r="E1" s="4">
        <v>45103</v>
      </c>
    </row>
    <row r="2" spans="1:11" x14ac:dyDescent="0.35">
      <c r="A2" s="1" t="s">
        <v>2</v>
      </c>
      <c r="B2" s="5">
        <f>2623+3775</f>
        <v>6398</v>
      </c>
      <c r="D2" s="3" t="s">
        <v>3</v>
      </c>
      <c r="E2" s="6">
        <v>45778</v>
      </c>
    </row>
    <row r="3" spans="1:11" x14ac:dyDescent="0.35">
      <c r="A3" s="1" t="s">
        <v>4</v>
      </c>
      <c r="B3" s="5">
        <v>0</v>
      </c>
      <c r="D3" s="3" t="s">
        <v>5</v>
      </c>
      <c r="E3" s="7" t="s">
        <v>6</v>
      </c>
      <c r="F3" s="7"/>
      <c r="G3" s="7"/>
    </row>
    <row r="4" spans="1:11" x14ac:dyDescent="0.35">
      <c r="A4" s="1" t="s">
        <v>7</v>
      </c>
      <c r="B4" s="5">
        <f>SUM(B1:B3)</f>
        <v>494398</v>
      </c>
      <c r="D4" s="8"/>
    </row>
    <row r="5" spans="1:11" x14ac:dyDescent="0.35">
      <c r="A5" s="1" t="s">
        <v>8</v>
      </c>
      <c r="B5" s="5">
        <v>618100</v>
      </c>
    </row>
    <row r="6" spans="1:11" x14ac:dyDescent="0.35">
      <c r="A6" s="1" t="s">
        <v>9</v>
      </c>
      <c r="B6" s="2">
        <v>3900</v>
      </c>
    </row>
    <row r="7" spans="1:11" x14ac:dyDescent="0.35">
      <c r="A7" s="1" t="s">
        <v>10</v>
      </c>
      <c r="B7" s="2">
        <v>0</v>
      </c>
    </row>
    <row r="8" spans="1:11" x14ac:dyDescent="0.35">
      <c r="A8" s="1" t="s">
        <v>11</v>
      </c>
      <c r="B8" s="2">
        <v>0</v>
      </c>
    </row>
    <row r="9" spans="1:11" x14ac:dyDescent="0.35">
      <c r="A9" s="1" t="s">
        <v>12</v>
      </c>
      <c r="B9" s="2">
        <v>129</v>
      </c>
    </row>
    <row r="11" spans="1:11" ht="29" x14ac:dyDescent="0.35">
      <c r="A11" s="9" t="s">
        <v>13</v>
      </c>
      <c r="B11" s="9" t="s">
        <v>14</v>
      </c>
      <c r="C11" s="9" t="s">
        <v>15</v>
      </c>
      <c r="D11" s="9" t="s">
        <v>11</v>
      </c>
      <c r="E11" s="9" t="s">
        <v>10</v>
      </c>
      <c r="F11" s="9" t="s">
        <v>16</v>
      </c>
      <c r="G11" s="9" t="s">
        <v>17</v>
      </c>
      <c r="H11" s="10" t="s">
        <v>18</v>
      </c>
      <c r="I11" s="10" t="s">
        <v>19</v>
      </c>
      <c r="J11" s="11" t="s">
        <v>20</v>
      </c>
      <c r="K11" s="9" t="s">
        <v>21</v>
      </c>
    </row>
    <row r="12" spans="1:11" x14ac:dyDescent="0.35">
      <c r="A12" s="12">
        <v>45658</v>
      </c>
      <c r="B12" s="13">
        <v>3900</v>
      </c>
      <c r="C12" s="13">
        <v>0</v>
      </c>
      <c r="D12" s="13">
        <v>0</v>
      </c>
      <c r="E12" s="13">
        <v>0</v>
      </c>
      <c r="F12" s="13">
        <v>129</v>
      </c>
      <c r="G12" s="13">
        <f t="shared" ref="G12:G22" si="0">F12+D12+C12+E12</f>
        <v>129</v>
      </c>
      <c r="H12" s="5">
        <f t="shared" ref="H12:H26" si="1">B12-G12</f>
        <v>3771</v>
      </c>
      <c r="I12" s="14">
        <v>0</v>
      </c>
      <c r="J12" s="15">
        <f t="shared" ref="J12:J26" si="2">H12/$B$4</f>
        <v>7.6274580398788018E-3</v>
      </c>
      <c r="K12" s="13">
        <v>525000</v>
      </c>
    </row>
    <row r="13" spans="1:11" x14ac:dyDescent="0.35">
      <c r="A13" s="12">
        <v>45689</v>
      </c>
      <c r="B13" s="13">
        <v>3900</v>
      </c>
      <c r="C13" s="13">
        <v>0</v>
      </c>
      <c r="D13" s="13">
        <v>0</v>
      </c>
      <c r="E13" s="13">
        <v>0</v>
      </c>
      <c r="F13" s="13">
        <v>129</v>
      </c>
      <c r="G13" s="13">
        <f t="shared" si="0"/>
        <v>129</v>
      </c>
      <c r="H13" s="5">
        <f t="shared" si="1"/>
        <v>3771</v>
      </c>
      <c r="I13" s="14">
        <v>0</v>
      </c>
      <c r="J13" s="15">
        <f t="shared" si="2"/>
        <v>7.6274580398788018E-3</v>
      </c>
      <c r="K13" s="13">
        <v>559317</v>
      </c>
    </row>
    <row r="14" spans="1:11" x14ac:dyDescent="0.35">
      <c r="A14" s="12">
        <v>45717</v>
      </c>
      <c r="B14" s="13">
        <v>3900</v>
      </c>
      <c r="C14" s="13">
        <v>0</v>
      </c>
      <c r="D14" s="13">
        <v>0</v>
      </c>
      <c r="E14" s="13">
        <v>0</v>
      </c>
      <c r="F14" s="13">
        <v>129</v>
      </c>
      <c r="G14" s="13">
        <f t="shared" si="0"/>
        <v>129</v>
      </c>
      <c r="H14" s="5">
        <f t="shared" si="1"/>
        <v>3771</v>
      </c>
      <c r="I14" s="14">
        <v>0</v>
      </c>
      <c r="J14" s="15">
        <f t="shared" si="2"/>
        <v>7.6274580398788018E-3</v>
      </c>
      <c r="K14" s="13">
        <v>612904</v>
      </c>
    </row>
    <row r="15" spans="1:11" x14ac:dyDescent="0.35">
      <c r="A15" s="12">
        <v>45748</v>
      </c>
      <c r="B15" s="13">
        <v>0</v>
      </c>
      <c r="C15" s="13">
        <v>0</v>
      </c>
      <c r="D15" s="13">
        <v>0</v>
      </c>
      <c r="E15" s="13">
        <v>0</v>
      </c>
      <c r="F15" s="13">
        <v>129</v>
      </c>
      <c r="G15" s="13">
        <f t="shared" si="0"/>
        <v>129</v>
      </c>
      <c r="H15" s="5">
        <f t="shared" si="1"/>
        <v>-129</v>
      </c>
      <c r="I15" s="14">
        <v>0</v>
      </c>
      <c r="J15" s="15">
        <f t="shared" si="2"/>
        <v>-2.6092338561240137E-4</v>
      </c>
      <c r="K15" s="13">
        <v>571668</v>
      </c>
    </row>
    <row r="16" spans="1:11" x14ac:dyDescent="0.35">
      <c r="A16" s="12">
        <v>45778</v>
      </c>
      <c r="B16" s="13">
        <v>3775</v>
      </c>
      <c r="C16" s="13">
        <f>804</f>
        <v>804</v>
      </c>
      <c r="D16" s="13">
        <v>0</v>
      </c>
      <c r="E16" s="13">
        <v>0</v>
      </c>
      <c r="F16" s="13">
        <v>129</v>
      </c>
      <c r="G16" s="13">
        <f t="shared" si="0"/>
        <v>933</v>
      </c>
      <c r="H16" s="5">
        <f t="shared" si="1"/>
        <v>2842</v>
      </c>
      <c r="I16" s="14">
        <v>0</v>
      </c>
      <c r="J16" s="15">
        <f t="shared" si="2"/>
        <v>5.7484051310887178E-3</v>
      </c>
      <c r="K16" s="13">
        <v>588120</v>
      </c>
    </row>
    <row r="17" spans="1:11" x14ac:dyDescent="0.35">
      <c r="A17" s="12">
        <v>45809</v>
      </c>
      <c r="B17" s="13">
        <v>3775</v>
      </c>
      <c r="C17" s="13">
        <v>252</v>
      </c>
      <c r="D17" s="13">
        <v>0</v>
      </c>
      <c r="E17" s="13">
        <v>0</v>
      </c>
      <c r="F17" s="13">
        <v>129</v>
      </c>
      <c r="G17" s="13">
        <f t="shared" si="0"/>
        <v>381</v>
      </c>
      <c r="H17" s="5">
        <f t="shared" si="1"/>
        <v>3394</v>
      </c>
      <c r="I17" s="14">
        <v>0</v>
      </c>
      <c r="J17" s="15">
        <f t="shared" si="2"/>
        <v>6.864914502081319E-3</v>
      </c>
      <c r="K17" s="13">
        <v>531449</v>
      </c>
    </row>
    <row r="18" spans="1:11" x14ac:dyDescent="0.35">
      <c r="A18" s="12">
        <v>45839</v>
      </c>
      <c r="B18" s="13">
        <v>3775</v>
      </c>
      <c r="C18" s="13">
        <v>0</v>
      </c>
      <c r="D18" s="13">
        <v>0</v>
      </c>
      <c r="E18" s="13">
        <v>0</v>
      </c>
      <c r="F18" s="13">
        <v>129</v>
      </c>
      <c r="G18" s="13">
        <f t="shared" si="0"/>
        <v>129</v>
      </c>
      <c r="H18" s="5">
        <f t="shared" si="1"/>
        <v>3646</v>
      </c>
      <c r="I18" s="14">
        <v>0</v>
      </c>
      <c r="J18" s="15">
        <f t="shared" si="2"/>
        <v>7.3746253018822892E-3</v>
      </c>
      <c r="K18" s="13">
        <v>615702</v>
      </c>
    </row>
    <row r="19" spans="1:11" x14ac:dyDescent="0.35">
      <c r="A19" s="12">
        <v>45870</v>
      </c>
      <c r="B19" s="13">
        <v>3775</v>
      </c>
      <c r="C19" s="13">
        <v>0</v>
      </c>
      <c r="D19" s="13">
        <v>0</v>
      </c>
      <c r="E19" s="13">
        <v>0</v>
      </c>
      <c r="F19" s="13">
        <v>129</v>
      </c>
      <c r="G19" s="13">
        <f t="shared" si="0"/>
        <v>129</v>
      </c>
      <c r="H19" s="5">
        <f t="shared" si="1"/>
        <v>3646</v>
      </c>
      <c r="I19" s="14">
        <v>0</v>
      </c>
      <c r="J19" s="15">
        <f t="shared" si="2"/>
        <v>7.3746253018822892E-3</v>
      </c>
      <c r="K19" s="13">
        <v>542991</v>
      </c>
    </row>
    <row r="20" spans="1:11" x14ac:dyDescent="0.35">
      <c r="A20" s="12">
        <v>45901</v>
      </c>
      <c r="B20" s="13">
        <v>3775</v>
      </c>
      <c r="C20" s="13">
        <v>0</v>
      </c>
      <c r="D20" s="13">
        <v>0</v>
      </c>
      <c r="E20" s="13">
        <v>0</v>
      </c>
      <c r="F20" s="13">
        <v>129</v>
      </c>
      <c r="G20" s="13">
        <f t="shared" si="0"/>
        <v>129</v>
      </c>
      <c r="H20" s="5">
        <f t="shared" si="1"/>
        <v>3646</v>
      </c>
      <c r="I20" s="14">
        <v>0</v>
      </c>
      <c r="J20" s="15">
        <f t="shared" si="2"/>
        <v>7.3746253018822892E-3</v>
      </c>
      <c r="K20" s="13">
        <v>599873</v>
      </c>
    </row>
    <row r="21" spans="1:11" x14ac:dyDescent="0.35">
      <c r="A21" s="12">
        <v>45931</v>
      </c>
      <c r="B21" s="13">
        <v>3775</v>
      </c>
      <c r="C21" s="13">
        <v>114</v>
      </c>
      <c r="D21" s="13">
        <v>0</v>
      </c>
      <c r="E21" s="13">
        <v>0</v>
      </c>
      <c r="F21" s="13">
        <v>129</v>
      </c>
      <c r="G21" s="13">
        <f t="shared" si="0"/>
        <v>243</v>
      </c>
      <c r="H21" s="5">
        <f t="shared" si="1"/>
        <v>3532</v>
      </c>
      <c r="I21" s="14">
        <v>0</v>
      </c>
      <c r="J21" s="15">
        <f t="shared" si="2"/>
        <v>7.1440418448294697E-3</v>
      </c>
      <c r="K21" s="13">
        <v>574665</v>
      </c>
    </row>
    <row r="22" spans="1:11" x14ac:dyDescent="0.35">
      <c r="A22" s="12">
        <v>45962</v>
      </c>
      <c r="B22" s="13">
        <v>3775</v>
      </c>
      <c r="C22" s="13">
        <v>0</v>
      </c>
      <c r="D22" s="13">
        <v>0</v>
      </c>
      <c r="E22" s="13">
        <v>0</v>
      </c>
      <c r="F22" s="13">
        <v>129</v>
      </c>
      <c r="G22" s="13">
        <f t="shared" si="0"/>
        <v>129</v>
      </c>
      <c r="H22" s="5">
        <f t="shared" si="1"/>
        <v>3646</v>
      </c>
      <c r="I22" s="14">
        <v>10360</v>
      </c>
      <c r="J22" s="15">
        <f t="shared" si="2"/>
        <v>7.3746253018822892E-3</v>
      </c>
      <c r="K22" s="13">
        <v>618000</v>
      </c>
    </row>
    <row r="23" spans="1:11" x14ac:dyDescent="0.35">
      <c r="A23" s="12">
        <v>45992</v>
      </c>
      <c r="B23" s="13">
        <v>3775</v>
      </c>
      <c r="C23" s="13">
        <v>444</v>
      </c>
      <c r="D23" s="13">
        <v>0</v>
      </c>
      <c r="E23" s="13">
        <v>0</v>
      </c>
      <c r="F23" s="13">
        <v>129</v>
      </c>
      <c r="G23" s="13">
        <f>F23+D23+C23+E23</f>
        <v>573</v>
      </c>
      <c r="H23" s="5">
        <f t="shared" si="1"/>
        <v>3202</v>
      </c>
      <c r="I23" s="14">
        <v>0</v>
      </c>
      <c r="J23" s="15">
        <f t="shared" si="2"/>
        <v>6.4765634165186749E-3</v>
      </c>
      <c r="K23" s="13">
        <v>615500</v>
      </c>
    </row>
    <row r="24" spans="1:11" x14ac:dyDescent="0.35">
      <c r="A24" s="12">
        <v>46023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f t="shared" ref="G24:G26" si="3">F24+D24+C24+E24</f>
        <v>0</v>
      </c>
      <c r="H24" s="5">
        <f t="shared" si="1"/>
        <v>0</v>
      </c>
      <c r="I24" s="14">
        <v>0</v>
      </c>
      <c r="J24" s="15">
        <f t="shared" si="2"/>
        <v>0</v>
      </c>
      <c r="K24" s="13"/>
    </row>
    <row r="25" spans="1:11" x14ac:dyDescent="0.35">
      <c r="A25" s="12">
        <v>46054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f t="shared" si="3"/>
        <v>0</v>
      </c>
      <c r="H25" s="5">
        <f t="shared" si="1"/>
        <v>0</v>
      </c>
      <c r="I25" s="14">
        <v>0</v>
      </c>
      <c r="J25" s="15">
        <f t="shared" si="2"/>
        <v>0</v>
      </c>
      <c r="K25" s="13"/>
    </row>
    <row r="26" spans="1:11" x14ac:dyDescent="0.35">
      <c r="A26" s="12">
        <v>46082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f t="shared" si="3"/>
        <v>0</v>
      </c>
      <c r="H26" s="13">
        <f t="shared" si="1"/>
        <v>0</v>
      </c>
      <c r="I26" s="14">
        <v>0</v>
      </c>
      <c r="J26" s="15">
        <f t="shared" si="2"/>
        <v>0</v>
      </c>
      <c r="K26" s="13"/>
    </row>
    <row r="27" spans="1:11" x14ac:dyDescent="0.35">
      <c r="A27" s="16" t="s">
        <v>22</v>
      </c>
      <c r="B27" s="17">
        <f t="shared" ref="B27:I27" si="4">SUM(B12:B26)</f>
        <v>41900</v>
      </c>
      <c r="C27" s="17">
        <f t="shared" si="4"/>
        <v>1614</v>
      </c>
      <c r="D27" s="17">
        <f t="shared" si="4"/>
        <v>0</v>
      </c>
      <c r="E27" s="17">
        <f t="shared" si="4"/>
        <v>0</v>
      </c>
      <c r="F27" s="17">
        <f>SUM(F12:F26)</f>
        <v>1548</v>
      </c>
      <c r="G27" s="17">
        <f>SUM(C27:F27)</f>
        <v>3162</v>
      </c>
      <c r="H27" s="17">
        <f>B27-G27</f>
        <v>38738</v>
      </c>
      <c r="I27" s="17">
        <f t="shared" si="4"/>
        <v>10360</v>
      </c>
      <c r="J27" s="18">
        <f>H27/$B$4</f>
        <v>7.835387683607134E-2</v>
      </c>
      <c r="K27" s="19">
        <f>K22-K12</f>
        <v>93000</v>
      </c>
    </row>
    <row r="28" spans="1:11" x14ac:dyDescent="0.35">
      <c r="A28" s="16" t="s">
        <v>23</v>
      </c>
      <c r="B28" s="17">
        <f ca="1">SUMIFS(B12:B26, $A$12:$A$26, "&lt;=" &amp; EOMONTH(TODAY(), 0))+B26</f>
        <v>41900</v>
      </c>
      <c r="C28" s="17">
        <f ca="1">B28*0.05</f>
        <v>2095</v>
      </c>
      <c r="D28" s="17">
        <f ca="1">SUMIFS(D12:D26, $A$12:$A$26, "&lt;=" &amp; EOMONTH(TODAY(), 0))</f>
        <v>0</v>
      </c>
      <c r="E28" s="17">
        <f t="shared" ref="E28:F28" ca="1" si="5">SUMIFS(E12:E26, $A$12:$A$26, "&lt;=" &amp; EOMONTH(TODAY(), 0))</f>
        <v>0</v>
      </c>
      <c r="F28" s="17">
        <f t="shared" ca="1" si="5"/>
        <v>1548</v>
      </c>
      <c r="G28" s="17">
        <f ca="1">SUM(C28:F28)</f>
        <v>3643</v>
      </c>
      <c r="H28" s="17">
        <f ca="1">B28-G28</f>
        <v>38257</v>
      </c>
      <c r="I28" s="17">
        <v>10000</v>
      </c>
      <c r="J28" s="18">
        <f ca="1">H28/$B$4</f>
        <v>7.7380976460260764E-2</v>
      </c>
      <c r="K28" s="20">
        <f>K27/K12</f>
        <v>0.17714285714285713</v>
      </c>
    </row>
    <row r="29" spans="1:11" x14ac:dyDescent="0.35">
      <c r="A29" s="16" t="s">
        <v>24</v>
      </c>
      <c r="B29" s="17">
        <f>B6*12</f>
        <v>46800</v>
      </c>
      <c r="C29" s="17">
        <f>B29*0.05</f>
        <v>2340</v>
      </c>
      <c r="D29" s="17">
        <f>B8*12</f>
        <v>0</v>
      </c>
      <c r="E29" s="17">
        <f>B7*12</f>
        <v>0</v>
      </c>
      <c r="F29" s="17">
        <f>B9*12</f>
        <v>1548</v>
      </c>
      <c r="G29" s="17">
        <f>SUM(C29:F29)</f>
        <v>3888</v>
      </c>
      <c r="H29" s="17">
        <f>B29-G29</f>
        <v>42912</v>
      </c>
      <c r="I29" s="17">
        <v>0</v>
      </c>
      <c r="J29" s="18">
        <f>H29/$B$4</f>
        <v>8.6796467623250897E-2</v>
      </c>
      <c r="K29" s="19">
        <f>K27/11</f>
        <v>8454.545454545454</v>
      </c>
    </row>
    <row r="31" spans="1:11" x14ac:dyDescent="0.35">
      <c r="A31" s="21"/>
      <c r="B31" s="22" t="s">
        <v>25</v>
      </c>
      <c r="C31" s="22" t="s">
        <v>23</v>
      </c>
      <c r="D31" s="22" t="s">
        <v>24</v>
      </c>
      <c r="E31" s="22" t="s">
        <v>26</v>
      </c>
      <c r="G31" s="23" t="s">
        <v>27</v>
      </c>
      <c r="H31" s="23"/>
    </row>
    <row r="32" spans="1:11" x14ac:dyDescent="0.35">
      <c r="A32" s="24" t="s">
        <v>28</v>
      </c>
      <c r="B32" s="5">
        <f>B27</f>
        <v>41900</v>
      </c>
      <c r="C32" s="25">
        <f ca="1">B28</f>
        <v>41900</v>
      </c>
      <c r="D32" s="25">
        <f>12*B6</f>
        <v>46800</v>
      </c>
      <c r="E32" s="15">
        <f ca="1">(B32-C32)/C32</f>
        <v>0</v>
      </c>
      <c r="G32" s="26" t="s">
        <v>29</v>
      </c>
      <c r="H32" s="5">
        <f>B4</f>
        <v>494398</v>
      </c>
    </row>
    <row r="33" spans="1:9" x14ac:dyDescent="0.35">
      <c r="A33" s="24" t="s">
        <v>15</v>
      </c>
      <c r="B33" s="5">
        <f>C27</f>
        <v>1614</v>
      </c>
      <c r="C33" s="25">
        <f ca="1">C28</f>
        <v>2095</v>
      </c>
      <c r="D33" s="13">
        <f>D32*0.05</f>
        <v>2340</v>
      </c>
      <c r="E33" s="15">
        <f ca="1">-(B33-C33)/C33</f>
        <v>0.22959427207637231</v>
      </c>
      <c r="F33" s="27"/>
      <c r="G33" s="26"/>
      <c r="H33" s="5"/>
    </row>
    <row r="34" spans="1:9" x14ac:dyDescent="0.35">
      <c r="A34" s="24" t="s">
        <v>30</v>
      </c>
      <c r="B34" s="15">
        <f>B33/B32</f>
        <v>3.8520286396181387E-2</v>
      </c>
      <c r="C34" s="15">
        <f t="shared" ref="C34:D34" ca="1" si="6">C33/C32</f>
        <v>0.05</v>
      </c>
      <c r="D34" s="15">
        <f t="shared" si="6"/>
        <v>0.05</v>
      </c>
      <c r="E34" s="15">
        <f ca="1">-(B34-C34)/C34</f>
        <v>0.22959427207637231</v>
      </c>
      <c r="F34" s="27"/>
      <c r="G34" s="28" t="s">
        <v>31</v>
      </c>
      <c r="H34" s="2" cm="1">
        <f t="array" aca="1" ref="H34" ca="1">INDEX(K12:K26, MATCH(TEXT(TODAY(), "mmm-yy"), TEXT(A12:A26, "mmm-yy"), 0))</f>
        <v>615500</v>
      </c>
    </row>
    <row r="35" spans="1:9" x14ac:dyDescent="0.35">
      <c r="A35" s="24" t="s">
        <v>32</v>
      </c>
      <c r="B35" s="5">
        <f>SUM(D27:F27)</f>
        <v>1548</v>
      </c>
      <c r="C35" s="25">
        <f ca="1">SUM(D28:F28)</f>
        <v>1548</v>
      </c>
      <c r="D35" s="25">
        <f>SUM(F29,E29,D29)</f>
        <v>1548</v>
      </c>
      <c r="E35" s="15">
        <f t="shared" ref="E35" ca="1" si="7">(B35-C35)/C35</f>
        <v>0</v>
      </c>
      <c r="G35" s="28" t="s">
        <v>33</v>
      </c>
      <c r="H35" s="5">
        <f ca="1">H34-H32</f>
        <v>121102</v>
      </c>
      <c r="I35" s="29">
        <f t="shared" ref="I35:I36" ca="1" si="8">H35/$H$32</f>
        <v>0.24494840189482966</v>
      </c>
    </row>
    <row r="36" spans="1:9" x14ac:dyDescent="0.35">
      <c r="A36" s="24" t="s">
        <v>17</v>
      </c>
      <c r="B36" s="5">
        <f>G27</f>
        <v>3162</v>
      </c>
      <c r="C36" s="25">
        <f ca="1">G28</f>
        <v>3643</v>
      </c>
      <c r="D36" s="25">
        <f>G29</f>
        <v>3888</v>
      </c>
      <c r="E36" s="15">
        <f ca="1">-(B36-C36)/C36</f>
        <v>0.13203403788086743</v>
      </c>
      <c r="G36" s="26" t="s">
        <v>34</v>
      </c>
      <c r="H36" s="5">
        <f ca="1">H35/H38</f>
        <v>4175.9310344827591</v>
      </c>
      <c r="I36" s="29">
        <f t="shared" ca="1" si="8"/>
        <v>8.4464966170630928E-3</v>
      </c>
    </row>
    <row r="37" spans="1:9" x14ac:dyDescent="0.35">
      <c r="A37" s="24" t="s">
        <v>18</v>
      </c>
      <c r="B37" s="5">
        <f>H27</f>
        <v>38738</v>
      </c>
      <c r="C37" s="5">
        <f ca="1">H28</f>
        <v>38257</v>
      </c>
      <c r="D37" s="25">
        <f>H29</f>
        <v>42912</v>
      </c>
      <c r="E37" s="15">
        <f ca="1">(B37-C37)/C37</f>
        <v>1.2572862482682908E-2</v>
      </c>
      <c r="G37" s="26" t="s">
        <v>35</v>
      </c>
      <c r="H37" s="5">
        <f ca="1">H36*12</f>
        <v>50111.172413793109</v>
      </c>
      <c r="I37" s="29">
        <f ca="1">H37/$H$32</f>
        <v>0.10135795940475711</v>
      </c>
    </row>
    <row r="38" spans="1:9" x14ac:dyDescent="0.35">
      <c r="A38" s="30" t="s">
        <v>19</v>
      </c>
      <c r="B38" s="5">
        <f>I27</f>
        <v>10360</v>
      </c>
      <c r="C38" s="31">
        <f>B38/B37</f>
        <v>0.2674376581134803</v>
      </c>
      <c r="D38" s="25"/>
      <c r="E38" s="31"/>
      <c r="G38" s="26" t="s">
        <v>36</v>
      </c>
      <c r="H38" s="32">
        <f ca="1">DATEDIF(E1, TODAY(), "m")</f>
        <v>29</v>
      </c>
    </row>
    <row r="41" spans="1:9" x14ac:dyDescent="0.35">
      <c r="A41" s="33" t="s">
        <v>37</v>
      </c>
      <c r="B41" s="22" t="s">
        <v>25</v>
      </c>
      <c r="C41" s="22" t="s">
        <v>23</v>
      </c>
      <c r="D41" s="22" t="s">
        <v>24</v>
      </c>
      <c r="E41" s="22" t="s">
        <v>26</v>
      </c>
      <c r="G41" s="26" t="s">
        <v>38</v>
      </c>
      <c r="H41" s="5">
        <v>59121</v>
      </c>
    </row>
    <row r="42" spans="1:9" x14ac:dyDescent="0.35">
      <c r="A42" s="34" t="s">
        <v>39</v>
      </c>
      <c r="B42" s="15">
        <f>B37/B4</f>
        <v>7.835387683607134E-2</v>
      </c>
      <c r="C42" s="15">
        <f ca="1">C37/B4</f>
        <v>7.7380976460260764E-2</v>
      </c>
      <c r="D42" s="15">
        <f>H29/B4</f>
        <v>8.6796467623250897E-2</v>
      </c>
      <c r="E42" s="15">
        <f ca="1">(B42-C42)/C42</f>
        <v>1.2572862482682832E-2</v>
      </c>
    </row>
    <row r="43" spans="1:9" x14ac:dyDescent="0.35">
      <c r="A43" s="30" t="s">
        <v>40</v>
      </c>
      <c r="B43" s="15">
        <f>(B37-B38)/B4</f>
        <v>5.739909951092035E-2</v>
      </c>
      <c r="C43" s="26"/>
      <c r="D43" s="26"/>
      <c r="E43" s="26"/>
    </row>
    <row r="44" spans="1:9" x14ac:dyDescent="0.35">
      <c r="A44" s="30" t="s">
        <v>41</v>
      </c>
      <c r="B44" s="31">
        <f ca="1">I35</f>
        <v>0.24494840189482966</v>
      </c>
    </row>
    <row r="45" spans="1:9" x14ac:dyDescent="0.35">
      <c r="A45" s="30" t="s">
        <v>42</v>
      </c>
      <c r="B45" s="15">
        <f ca="1">(B37+H35-B38-H41)/B4</f>
        <v>0.1827657069810153</v>
      </c>
    </row>
    <row r="87" ht="28.15" customHeight="1" x14ac:dyDescent="0.35"/>
    <row r="97" spans="1:12" x14ac:dyDescent="0.35">
      <c r="A97" t="str">
        <f ca="1">_xlfn.LET(
    _xlpm.negatives, COUNTIF(E32:E37, "&lt;0"),
    _xlpm.color, IF(_xlpm.negatives&lt;2, "green", IF(_xlpm.negatives&lt;=3, "yellow", "red")),
    "Investment performance is "&amp;_xlpm.color&amp;" based on income, maintenance, and expenses."
)</f>
        <v>Investment performance is green based on income, maintenance, and expenses.</v>
      </c>
    </row>
    <row r="98" spans="1:12" x14ac:dyDescent="0.35">
      <c r="A98" t="str">
        <f ca="1">IF(I37&gt;10%, "Investment Performance is Green based on Asset Appreciation.",
   IF(I37&gt;=5%, "Investment Performance is Yellow based on Asset Appreciation.",
      IF(I37&gt;0%, "Investment Performance is Red based on Asset Appreciation.",
         "Investment Performance shows no growth or depreciation.")))</f>
        <v>Investment Performance is Green based on Asset Appreciation.</v>
      </c>
    </row>
    <row r="100" spans="1:12" ht="28.9" customHeight="1" x14ac:dyDescent="0.35">
      <c r="A100" s="35" t="str">
        <f ca="1">"Current income is $"&amp;TEXT(B32,"#,##0")&amp;
", current maintenance is $"&amp;TEXT(B33,"#,##0")&amp;
", and current HOA, Pool, and Other fees are $"&amp;TEXT(B35,"#,##0")&amp;
", leaving a net income of $"&amp;TEXT(B37,"#,##0")&amp;". The property is returning an ROI of "
&amp;TEXT(B42,"0.00%")&amp;
", against a plan of "
&amp;TEXT(C42,"0.00%")&amp;
". It is expected to yield "
&amp;TEXT(D42,"0.00%")&amp;
" annualized. Current maintenance costs are "
&amp;TEXT(B34,"0.00%")&amp;
", and target is less than 5%."</f>
        <v>Current income is $41,900, current maintenance is $1,614, and current HOA, Pool, and Other fees are $1,548, leaving a net income of $38,738. The property is returning an ROI of 7.84%, against a plan of 7.74%. It is expected to yield 8.68% annualized. Current maintenance costs are 3.85%, and target is less than 5%.</v>
      </c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</row>
    <row r="102" spans="1:12" x14ac:dyDescent="0.35">
      <c r="A102" t="str">
        <f ca="1">"Before tax, the property is returning an ROI of "
 &amp;TEXT(B42,"0.00%")&amp;
 ", against a plan of "
 &amp;TEXT(C42,"0.00%")&amp;
 ". It is expected to yield "
 &amp;TEXT(D42,"0.00%")&amp;
 " annualized. Current maintenance costs are "
 &amp;TEXT(B34,"0.00%")&amp;
 " of rent, and target is below "
 &amp;TEXT(D34,"0.00%")&amp;"."</f>
        <v>Before tax, the property is returning an ROI of 7.84%, against a plan of 7.74%. It is expected to yield 8.68% annualized. Current maintenance costs are 3.85% of rent, and target is below 5.00%.</v>
      </c>
    </row>
    <row r="103" spans="1:12" x14ac:dyDescent="0.35">
      <c r="A103" t="str">
        <f>"After property taxes of $"&amp;TEXT(B38,"#,##0")&amp;", the property returns a net income of $"&amp;TEXT(B37-B38,"#,##0")&amp;" ("&amp;TEXT(B43,"0.00%")&amp;" ROI)."</f>
        <v>After property taxes of $10,360, the property returns a net income of $28,378 (5.74% ROI).</v>
      </c>
    </row>
    <row r="105" spans="1:12" x14ac:dyDescent="0.35">
      <c r="A105" t="str">
        <f ca="1">"The home was purchased for $"&amp;TEXT(B1,"#,##0")&amp;", and incurred repairs of $"&amp;TEXT(B2,"#,##0")&amp;", giving a total cost of $"&amp;TEXT(B4,"#,##0")&amp;". It is currently valued at $"&amp;TEXT(H34,"#,##0")&amp;". It has increased in value by $"&amp;TEXT(H34-B4,"#,##0")&amp;" ("&amp;TEXT((H34-B4)/B4,"0.00%")&amp;") in "&amp;TEXT(H38,"#,##0")&amp;" months of ownership."</f>
        <v>The home was purchased for $488,000, and incurred repairs of $6,398, giving a total cost of $494,398. It is currently valued at $615,500. It has increased in value by $121,102 (24.49%) in 29 months of ownership.</v>
      </c>
    </row>
    <row r="106" spans="1:12" x14ac:dyDescent="0.35">
      <c r="A106" t="str">
        <f ca="1">"If you sell the home today for $"&amp;TEXT(H34,"#,##0")&amp;", expect closing costs of $"&amp;TEXT(H41,"#,##0")&amp;", yielding a return of $"&amp;TEXT(B45,"0.00%")&amp;" after property taxes for the year."</f>
        <v>If you sell the home today for $615,500, expect closing costs of $59,121, yielding a return of $18.28% after property taxes for the year.</v>
      </c>
    </row>
  </sheetData>
  <mergeCells count="3">
    <mergeCell ref="E3:G3"/>
    <mergeCell ref="G31:H31"/>
    <mergeCell ref="A100:L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rvrbend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awad</dc:creator>
  <cp:lastModifiedBy>kareem awad</cp:lastModifiedBy>
  <dcterms:created xsi:type="dcterms:W3CDTF">2025-12-10T07:41:30Z</dcterms:created>
  <dcterms:modified xsi:type="dcterms:W3CDTF">2025-12-10T07:41:50Z</dcterms:modified>
</cp:coreProperties>
</file>