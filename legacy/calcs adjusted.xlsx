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e\Desktop\LuxApp\luxor-portal\legacy html\"/>
    </mc:Choice>
  </mc:AlternateContent>
  <xr:revisionPtr revIDLastSave="0" documentId="13_ncr:1_{71E4747D-26AA-4E99-AF06-179064EF38B1}" xr6:coauthVersionLast="47" xr6:coauthVersionMax="47" xr10:uidLastSave="{00000000-0000-0000-0000-000000000000}"/>
  <bookViews>
    <workbookView xWindow="-110" yWindow="-110" windowWidth="19420" windowHeight="10300" xr2:uid="{B0CF8609-0886-4DC7-8602-4C60382D4664}"/>
  </bookViews>
  <sheets>
    <sheet name="Buena Ventur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D43" i="1"/>
  <c r="D42" i="1"/>
  <c r="B37" i="1" a="1"/>
  <c r="B37" i="1" s="1"/>
  <c r="D44" i="1" s="1"/>
  <c r="G2" i="1"/>
  <c r="H2" i="1" s="1"/>
  <c r="G3" i="1"/>
  <c r="H3" i="1" s="1"/>
  <c r="C4" i="1"/>
  <c r="D4" i="1"/>
  <c r="F4" i="1"/>
  <c r="G4" i="1"/>
  <c r="H4" i="1" s="1"/>
  <c r="D5" i="1"/>
  <c r="G5" i="1"/>
  <c r="H5" i="1" s="1"/>
  <c r="D6" i="1"/>
  <c r="G6" i="1"/>
  <c r="H6" i="1" s="1"/>
  <c r="D7" i="1"/>
  <c r="G7" i="1" s="1"/>
  <c r="H7" i="1" s="1"/>
  <c r="F7" i="1"/>
  <c r="D8" i="1"/>
  <c r="G8" i="1"/>
  <c r="H8" i="1" s="1"/>
  <c r="D9" i="1"/>
  <c r="G9" i="1"/>
  <c r="H9" i="1" s="1"/>
  <c r="D10" i="1"/>
  <c r="G10" i="1" s="1"/>
  <c r="H10" i="1" s="1"/>
  <c r="C11" i="1"/>
  <c r="D11" i="1"/>
  <c r="G11" i="1" s="1"/>
  <c r="H11" i="1" s="1"/>
  <c r="C12" i="1"/>
  <c r="C17" i="1" s="1"/>
  <c r="D12" i="1"/>
  <c r="D18" i="1" s="1"/>
  <c r="G13" i="1"/>
  <c r="H13" i="1" s="1"/>
  <c r="G14" i="1"/>
  <c r="H14" i="1" s="1"/>
  <c r="G15" i="1"/>
  <c r="H15" i="1"/>
  <c r="G16" i="1"/>
  <c r="H16" i="1"/>
  <c r="B17" i="1"/>
  <c r="E17" i="1"/>
  <c r="F17" i="1"/>
  <c r="I17" i="1"/>
  <c r="B18" i="1"/>
  <c r="C18" i="1" s="1"/>
  <c r="E18" i="1"/>
  <c r="F18" i="1"/>
  <c r="B19" i="1"/>
  <c r="C19" i="1"/>
  <c r="D19" i="1"/>
  <c r="E19" i="1"/>
  <c r="F19" i="1"/>
  <c r="F25" i="1"/>
  <c r="B27" i="1"/>
  <c r="E27" i="1"/>
  <c r="E28" i="1" s="1"/>
  <c r="E29" i="1"/>
  <c r="B34" i="1" a="1"/>
  <c r="B34" i="1" s="1"/>
  <c r="C37" i="1" l="1"/>
  <c r="G19" i="1"/>
  <c r="H19" i="1" s="1"/>
  <c r="G18" i="1"/>
  <c r="H18" i="1" s="1"/>
  <c r="C44" i="1" s="1"/>
  <c r="D17" i="1"/>
  <c r="G17" i="1" s="1"/>
  <c r="H17" i="1" s="1"/>
  <c r="B44" i="1" s="1"/>
  <c r="G12" i="1"/>
  <c r="H12" i="1" s="1"/>
  <c r="B43" i="1" l="1"/>
  <c r="B42" i="1"/>
  <c r="C42" i="1"/>
  <c r="C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<sst xmlns="http://schemas.openxmlformats.org/spreadsheetml/2006/main" count="45" uniqueCount="42">
  <si>
    <t>yes</t>
  </si>
  <si>
    <t>Last Month's rent paid upfront?</t>
  </si>
  <si>
    <t>Deposit</t>
  </si>
  <si>
    <t>Quarterly</t>
  </si>
  <si>
    <t>HOA 2</t>
  </si>
  <si>
    <t>Monthly</t>
  </si>
  <si>
    <t>HOA</t>
  </si>
  <si>
    <t>Pool</t>
  </si>
  <si>
    <t>Elapsed Months since purchase</t>
  </si>
  <si>
    <t>Garden</t>
  </si>
  <si>
    <t>Reamining Months in Lease</t>
  </si>
  <si>
    <t>Rent</t>
  </si>
  <si>
    <t>Elapsed Months in Lease</t>
  </si>
  <si>
    <t>Total Cost</t>
  </si>
  <si>
    <t>10370 Buena Ventura Dr, Boca Raton, FL, 33326</t>
  </si>
  <si>
    <t>Address</t>
  </si>
  <si>
    <t>Closing Costs</t>
  </si>
  <si>
    <t>Lease start</t>
  </si>
  <si>
    <t>Home Repair Cost</t>
  </si>
  <si>
    <t>Date Closed</t>
  </si>
  <si>
    <t>Home Cost</t>
  </si>
  <si>
    <t>YE Target</t>
  </si>
  <si>
    <t>Plan</t>
  </si>
  <si>
    <t>Actual Total</t>
  </si>
  <si>
    <t>Property Market Estimate</t>
  </si>
  <si>
    <t>Property Tax</t>
  </si>
  <si>
    <t>Net Income</t>
  </si>
  <si>
    <t>Total Expenses</t>
  </si>
  <si>
    <t>HOA Payments</t>
  </si>
  <si>
    <t>Maintenance</t>
  </si>
  <si>
    <t>Rent Income</t>
  </si>
  <si>
    <t>Date</t>
  </si>
  <si>
    <t>Pre-tax ROI</t>
  </si>
  <si>
    <t>Post-tax ROI</t>
  </si>
  <si>
    <t xml:space="preserve">appreciation since purchase: </t>
  </si>
  <si>
    <t>YTD</t>
  </si>
  <si>
    <t>YE Target (Lease End)</t>
  </si>
  <si>
    <t>Total ROI (Net - tax + Appreciation)</t>
  </si>
  <si>
    <t>Estimated Property Tax</t>
  </si>
  <si>
    <t>Appreciation during current lease:</t>
  </si>
  <si>
    <t>Anticipated closing costs today</t>
  </si>
  <si>
    <t>ROI if sold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</si>
</sst>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/>
    <xf numFmtId="164" fontId="0" fillId="0" borderId="1" xfId="1" applyNumberFormat="1" applyFont="1" applyFill="1" applyBorder="1"/>
    <xf numFmtId="164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44" fontId="0" fillId="0" borderId="1" xfId="1" applyFont="1" applyBorder="1" applyAlignment="1">
      <alignment horizontal="left"/>
    </xf>
    <xf numFmtId="17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10" fontId="0" fillId="0" borderId="0" xfId="2" applyNumberFormat="1" applyFont="1"/>
    <xf numFmtId="0" fontId="2" fillId="0" borderId="1" xfId="0" applyFont="1" applyFill="1" applyBorder="1"/>
    <xf numFmtId="10" fontId="0" fillId="0" borderId="1" xfId="2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C794-A761-485E-AEAA-175E8E07ABDB}">
  <dimension ref="A1:J46"/>
  <sheetViews>
    <sheetView tabSelected="1" topLeftCell="A31" workbookViewId="0">
      <selection activeCell="B43" sqref="B43"/>
    </sheetView>
  </sheetViews>
  <sheetFormatPr defaultRowHeight="14.5" x14ac:dyDescent="0.35"/>
  <cols>
    <col min="1" max="1" width="30.54296875" bestFit="1" customWidth="1"/>
    <col min="2" max="2" width="11.81640625" bestFit="1" customWidth="1"/>
    <col min="4" max="4" width="27.36328125" bestFit="1" customWidth="1"/>
    <col min="5" max="5" width="16.26953125" customWidth="1"/>
    <col min="6" max="6" width="13.453125" bestFit="1" customWidth="1"/>
    <col min="7" max="8" width="8.7265625" customWidth="1"/>
    <col min="9" max="9" width="11.54296875" bestFit="1" customWidth="1"/>
    <col min="10" max="10" width="22.90625" bestFit="1" customWidth="1"/>
  </cols>
  <sheetData>
    <row r="1" spans="1:10" x14ac:dyDescent="0.35">
      <c r="A1" s="18" t="s">
        <v>31</v>
      </c>
      <c r="B1" s="18" t="s">
        <v>30</v>
      </c>
      <c r="C1" s="18" t="s">
        <v>29</v>
      </c>
      <c r="D1" s="18" t="s">
        <v>7</v>
      </c>
      <c r="E1" s="18" t="s">
        <v>9</v>
      </c>
      <c r="F1" s="18" t="s">
        <v>28</v>
      </c>
      <c r="G1" s="18" t="s">
        <v>27</v>
      </c>
      <c r="H1" s="19" t="s">
        <v>26</v>
      </c>
      <c r="I1" s="19" t="s">
        <v>25</v>
      </c>
      <c r="J1" s="18" t="s">
        <v>24</v>
      </c>
    </row>
    <row r="2" spans="1:10" x14ac:dyDescent="0.35">
      <c r="A2" s="17">
        <v>45658</v>
      </c>
      <c r="B2" s="15"/>
      <c r="C2" s="15"/>
      <c r="D2" s="15">
        <v>0</v>
      </c>
      <c r="E2" s="15"/>
      <c r="F2" s="15">
        <v>205</v>
      </c>
      <c r="G2" s="15">
        <f t="shared" ref="G2:G16" si="0">F2+D2+C2+E2</f>
        <v>205</v>
      </c>
      <c r="H2" s="3">
        <f t="shared" ref="H2:H19" si="1">B2-G2</f>
        <v>-205</v>
      </c>
      <c r="I2" s="16">
        <v>0</v>
      </c>
      <c r="J2" s="15">
        <v>775000</v>
      </c>
    </row>
    <row r="3" spans="1:10" x14ac:dyDescent="0.35">
      <c r="A3" s="17">
        <v>45689</v>
      </c>
      <c r="B3" s="15"/>
      <c r="C3" s="15"/>
      <c r="D3" s="15">
        <v>0</v>
      </c>
      <c r="E3" s="15"/>
      <c r="F3" s="15">
        <v>205</v>
      </c>
      <c r="G3" s="15">
        <f t="shared" si="0"/>
        <v>205</v>
      </c>
      <c r="H3" s="3">
        <f t="shared" si="1"/>
        <v>-205</v>
      </c>
      <c r="I3" s="16">
        <v>0</v>
      </c>
      <c r="J3" s="15">
        <v>804000</v>
      </c>
    </row>
    <row r="4" spans="1:10" x14ac:dyDescent="0.35">
      <c r="A4" s="17">
        <v>45717</v>
      </c>
      <c r="B4" s="15"/>
      <c r="C4" s="15">
        <f>90+(370-140)</f>
        <v>320</v>
      </c>
      <c r="D4" s="15">
        <f>70</f>
        <v>70</v>
      </c>
      <c r="E4" s="15">
        <v>150</v>
      </c>
      <c r="F4" s="15">
        <f>800+205</f>
        <v>1005</v>
      </c>
      <c r="G4" s="15">
        <f t="shared" si="0"/>
        <v>1545</v>
      </c>
      <c r="H4" s="3">
        <f t="shared" si="1"/>
        <v>-1545</v>
      </c>
      <c r="I4" s="16">
        <v>0</v>
      </c>
      <c r="J4" s="15">
        <v>805000</v>
      </c>
    </row>
    <row r="5" spans="1:10" x14ac:dyDescent="0.35">
      <c r="A5" s="17">
        <v>45748</v>
      </c>
      <c r="B5" s="15">
        <v>4025</v>
      </c>
      <c r="C5" s="15">
        <v>370</v>
      </c>
      <c r="D5" s="15">
        <f>70</f>
        <v>70</v>
      </c>
      <c r="E5" s="15">
        <v>150</v>
      </c>
      <c r="F5" s="15">
        <v>205</v>
      </c>
      <c r="G5" s="15">
        <f t="shared" si="0"/>
        <v>795</v>
      </c>
      <c r="H5" s="3">
        <f t="shared" si="1"/>
        <v>3230</v>
      </c>
      <c r="I5" s="16">
        <v>0</v>
      </c>
      <c r="J5" s="15">
        <v>815000</v>
      </c>
    </row>
    <row r="6" spans="1:10" x14ac:dyDescent="0.35">
      <c r="A6" s="17">
        <v>45778</v>
      </c>
      <c r="B6" s="15">
        <v>5750</v>
      </c>
      <c r="C6" s="15">
        <v>298</v>
      </c>
      <c r="D6" s="15">
        <f>70</f>
        <v>70</v>
      </c>
      <c r="E6" s="15">
        <v>150</v>
      </c>
      <c r="F6" s="15">
        <v>205</v>
      </c>
      <c r="G6" s="15">
        <f t="shared" si="0"/>
        <v>723</v>
      </c>
      <c r="H6" s="3">
        <f t="shared" si="1"/>
        <v>5027</v>
      </c>
      <c r="I6" s="16">
        <v>0</v>
      </c>
      <c r="J6" s="15">
        <v>825000</v>
      </c>
    </row>
    <row r="7" spans="1:10" x14ac:dyDescent="0.35">
      <c r="A7" s="17">
        <v>45809</v>
      </c>
      <c r="B7" s="15">
        <v>5750</v>
      </c>
      <c r="C7" s="15">
        <v>0</v>
      </c>
      <c r="D7" s="15">
        <f>70</f>
        <v>70</v>
      </c>
      <c r="E7" s="15">
        <v>150</v>
      </c>
      <c r="F7" s="15">
        <f>800+205</f>
        <v>1005</v>
      </c>
      <c r="G7" s="15">
        <f t="shared" si="0"/>
        <v>1225</v>
      </c>
      <c r="H7" s="3">
        <f t="shared" si="1"/>
        <v>4525</v>
      </c>
      <c r="I7" s="16">
        <v>0</v>
      </c>
      <c r="J7" s="15">
        <v>880000</v>
      </c>
    </row>
    <row r="8" spans="1:10" x14ac:dyDescent="0.35">
      <c r="A8" s="17">
        <v>45839</v>
      </c>
      <c r="B8" s="15">
        <v>5750</v>
      </c>
      <c r="C8" s="15">
        <v>596</v>
      </c>
      <c r="D8" s="15">
        <f>70</f>
        <v>70</v>
      </c>
      <c r="E8" s="15">
        <v>150</v>
      </c>
      <c r="F8" s="15">
        <v>205</v>
      </c>
      <c r="G8" s="15">
        <f t="shared" si="0"/>
        <v>1021</v>
      </c>
      <c r="H8" s="3">
        <f t="shared" si="1"/>
        <v>4729</v>
      </c>
      <c r="I8" s="16">
        <v>0</v>
      </c>
      <c r="J8" s="15">
        <v>890000</v>
      </c>
    </row>
    <row r="9" spans="1:10" x14ac:dyDescent="0.35">
      <c r="A9" s="17">
        <v>45870</v>
      </c>
      <c r="B9" s="15">
        <v>5750</v>
      </c>
      <c r="C9" s="15"/>
      <c r="D9" s="15">
        <f>70</f>
        <v>70</v>
      </c>
      <c r="E9" s="15">
        <v>150</v>
      </c>
      <c r="F9" s="15">
        <v>205</v>
      </c>
      <c r="G9" s="15">
        <f t="shared" si="0"/>
        <v>425</v>
      </c>
      <c r="H9" s="3">
        <f t="shared" si="1"/>
        <v>5325</v>
      </c>
      <c r="I9" s="16">
        <v>0</v>
      </c>
      <c r="J9" s="15">
        <v>925000</v>
      </c>
    </row>
    <row r="10" spans="1:10" x14ac:dyDescent="0.35">
      <c r="A10" s="17">
        <v>45901</v>
      </c>
      <c r="B10" s="15">
        <v>5750</v>
      </c>
      <c r="C10" s="15">
        <v>77</v>
      </c>
      <c r="D10" s="15">
        <f>70</f>
        <v>70</v>
      </c>
      <c r="E10" s="15">
        <v>150</v>
      </c>
      <c r="F10" s="15">
        <v>1005</v>
      </c>
      <c r="G10" s="15">
        <f t="shared" si="0"/>
        <v>1302</v>
      </c>
      <c r="H10" s="3">
        <f t="shared" si="1"/>
        <v>4448</v>
      </c>
      <c r="I10" s="16">
        <v>0</v>
      </c>
      <c r="J10" s="15">
        <v>935000</v>
      </c>
    </row>
    <row r="11" spans="1:10" x14ac:dyDescent="0.35">
      <c r="A11" s="17">
        <v>45931</v>
      </c>
      <c r="B11" s="15">
        <v>5750</v>
      </c>
      <c r="C11" s="15">
        <f>96.62+20</f>
        <v>116.62</v>
      </c>
      <c r="D11" s="15">
        <f>70</f>
        <v>70</v>
      </c>
      <c r="E11" s="15">
        <v>150</v>
      </c>
      <c r="F11" s="15">
        <v>205</v>
      </c>
      <c r="G11" s="15">
        <f t="shared" si="0"/>
        <v>541.62</v>
      </c>
      <c r="H11" s="3">
        <f t="shared" si="1"/>
        <v>5208.38</v>
      </c>
      <c r="I11" s="16">
        <v>0</v>
      </c>
      <c r="J11" s="15">
        <v>955000</v>
      </c>
    </row>
    <row r="12" spans="1:10" x14ac:dyDescent="0.35">
      <c r="A12" s="17">
        <v>45962</v>
      </c>
      <c r="B12" s="15">
        <v>5750</v>
      </c>
      <c r="C12" s="15">
        <f>331.84-53.49-53.49</f>
        <v>224.85999999999996</v>
      </c>
      <c r="D12" s="15">
        <f>70</f>
        <v>70</v>
      </c>
      <c r="E12" s="15">
        <v>150</v>
      </c>
      <c r="F12" s="15">
        <v>205</v>
      </c>
      <c r="G12" s="15">
        <f t="shared" si="0"/>
        <v>649.8599999999999</v>
      </c>
      <c r="H12" s="3">
        <f t="shared" si="1"/>
        <v>5100.1400000000003</v>
      </c>
      <c r="I12" s="16">
        <v>0</v>
      </c>
      <c r="J12" s="15">
        <v>942000</v>
      </c>
    </row>
    <row r="13" spans="1:10" x14ac:dyDescent="0.35">
      <c r="A13" s="17">
        <v>45992</v>
      </c>
      <c r="B13" s="15">
        <v>5750</v>
      </c>
      <c r="C13" s="15"/>
      <c r="D13" s="15">
        <v>70</v>
      </c>
      <c r="E13" s="15">
        <v>150</v>
      </c>
      <c r="F13" s="15">
        <v>1005</v>
      </c>
      <c r="G13" s="15">
        <f t="shared" si="0"/>
        <v>1225</v>
      </c>
      <c r="H13" s="3">
        <f t="shared" si="1"/>
        <v>4525</v>
      </c>
      <c r="I13" s="16">
        <v>0</v>
      </c>
      <c r="J13" s="15">
        <v>928000</v>
      </c>
    </row>
    <row r="14" spans="1:10" x14ac:dyDescent="0.35">
      <c r="A14" s="17">
        <v>46023</v>
      </c>
      <c r="B14" s="15"/>
      <c r="C14" s="15"/>
      <c r="D14" s="15">
        <v>0</v>
      </c>
      <c r="E14" s="15"/>
      <c r="F14" s="15"/>
      <c r="G14" s="15">
        <f t="shared" si="0"/>
        <v>0</v>
      </c>
      <c r="H14" s="3">
        <f t="shared" si="1"/>
        <v>0</v>
      </c>
      <c r="I14" s="16">
        <v>0</v>
      </c>
      <c r="J14" s="15"/>
    </row>
    <row r="15" spans="1:10" x14ac:dyDescent="0.35">
      <c r="A15" s="17">
        <v>46054</v>
      </c>
      <c r="B15" s="15"/>
      <c r="C15" s="15"/>
      <c r="D15" s="15">
        <v>0</v>
      </c>
      <c r="E15" s="15"/>
      <c r="F15" s="15"/>
      <c r="G15" s="15">
        <f t="shared" si="0"/>
        <v>0</v>
      </c>
      <c r="H15" s="3">
        <f t="shared" si="1"/>
        <v>0</v>
      </c>
      <c r="I15" s="16">
        <v>0</v>
      </c>
      <c r="J15" s="15"/>
    </row>
    <row r="16" spans="1:10" x14ac:dyDescent="0.35">
      <c r="A16" s="17">
        <v>46082</v>
      </c>
      <c r="B16" s="15">
        <v>5750</v>
      </c>
      <c r="C16" s="15"/>
      <c r="D16" s="15">
        <v>0</v>
      </c>
      <c r="E16" s="15"/>
      <c r="F16" s="15"/>
      <c r="G16" s="15">
        <f t="shared" si="0"/>
        <v>0</v>
      </c>
      <c r="H16" s="15">
        <f t="shared" si="1"/>
        <v>5750</v>
      </c>
      <c r="I16" s="16">
        <v>0</v>
      </c>
      <c r="J16" s="15"/>
    </row>
    <row r="17" spans="1:10" x14ac:dyDescent="0.35">
      <c r="A17" s="13" t="s">
        <v>23</v>
      </c>
      <c r="B17" s="12">
        <f>SUM(B2:B16)</f>
        <v>55775</v>
      </c>
      <c r="C17" s="12">
        <f>SUM(C2:C16)</f>
        <v>2002.4799999999998</v>
      </c>
      <c r="D17" s="12">
        <f>SUM(D2:D16)</f>
        <v>700</v>
      </c>
      <c r="E17" s="12">
        <f>SUM(E2:E16)</f>
        <v>1500</v>
      </c>
      <c r="F17" s="12">
        <f>SUM(F2:F16)</f>
        <v>5660</v>
      </c>
      <c r="G17" s="12">
        <f>SUM(C17:F17)</f>
        <v>9862.48</v>
      </c>
      <c r="H17" s="12">
        <f t="shared" si="1"/>
        <v>45912.520000000004</v>
      </c>
      <c r="I17" s="12">
        <f>SUM(I2:I16)</f>
        <v>0</v>
      </c>
      <c r="J17" s="11"/>
    </row>
    <row r="18" spans="1:10" x14ac:dyDescent="0.35">
      <c r="A18" s="13" t="s">
        <v>22</v>
      </c>
      <c r="B18" s="12">
        <f ca="1">SUMIFS(B:B,A:A,"&lt;="&amp;EOMONTH(TODAY(),0),A:A,"&gt;="&amp;DATE(YEAR(TODAY()),1,1))
+ IF(LOWER(B36)="yes",B28,0)</f>
        <v>55775</v>
      </c>
      <c r="C18" s="12">
        <f ca="1">B18*0.05</f>
        <v>2788.75</v>
      </c>
      <c r="D18" s="12">
        <f ca="1">SUMIFS(D:D,$A:$A,"&lt;="&amp;EOMONTH(TODAY(),0),$A:$A,"&gt;="&amp;DATE(YEAR(TODAY()),1,1))</f>
        <v>700</v>
      </c>
      <c r="E18" s="12">
        <f ca="1">SUMIFS(E:E,$A:$A,"&lt;="&amp;EOMONTH(TODAY(),0),$A:$A,"&gt;="&amp;DATE(YEAR(TODAY()),1,1))</f>
        <v>1500</v>
      </c>
      <c r="F18" s="12">
        <f ca="1">SUMIFS(F:F,$A:$A,"&lt;="&amp;EOMONTH(TODAY(),0),$A:$A,"&gt;="&amp;DATE(YEAR(TODAY()),1,1))</f>
        <v>5660</v>
      </c>
      <c r="G18" s="12">
        <f ca="1">SUM(C18:F18)</f>
        <v>10648.75</v>
      </c>
      <c r="H18" s="12">
        <f t="shared" ca="1" si="1"/>
        <v>45126.25</v>
      </c>
      <c r="I18" s="12">
        <v>10800</v>
      </c>
      <c r="J18" s="14"/>
    </row>
    <row r="19" spans="1:10" x14ac:dyDescent="0.35">
      <c r="A19" s="13" t="s">
        <v>21</v>
      </c>
      <c r="B19" s="12">
        <f>B28*12</f>
        <v>69000</v>
      </c>
      <c r="C19" s="12">
        <f>B19*0.05</f>
        <v>3450</v>
      </c>
      <c r="D19" s="12">
        <f>B30*12</f>
        <v>840</v>
      </c>
      <c r="E19" s="12">
        <f>B29*12</f>
        <v>1800</v>
      </c>
      <c r="F19" s="12">
        <f>(B31*12)+(B32*4)</f>
        <v>5660</v>
      </c>
      <c r="G19" s="12">
        <f>SUM(C19:F19)</f>
        <v>11750</v>
      </c>
      <c r="H19" s="12">
        <f t="shared" si="1"/>
        <v>57250</v>
      </c>
      <c r="I19" s="12">
        <v>0</v>
      </c>
      <c r="J19" s="11"/>
    </row>
    <row r="24" spans="1:10" x14ac:dyDescent="0.35">
      <c r="A24" s="2" t="s">
        <v>20</v>
      </c>
      <c r="B24" s="6">
        <v>775000</v>
      </c>
      <c r="D24" s="7" t="s">
        <v>19</v>
      </c>
      <c r="E24" s="10">
        <v>45627</v>
      </c>
    </row>
    <row r="25" spans="1:10" x14ac:dyDescent="0.35">
      <c r="A25" s="2" t="s">
        <v>18</v>
      </c>
      <c r="B25" s="3">
        <v>30800</v>
      </c>
      <c r="D25" s="7" t="s">
        <v>17</v>
      </c>
      <c r="E25" s="9">
        <v>45757</v>
      </c>
      <c r="F25" s="8">
        <f>E25+365</f>
        <v>46122</v>
      </c>
    </row>
    <row r="26" spans="1:10" x14ac:dyDescent="0.35">
      <c r="A26" s="2" t="s">
        <v>16</v>
      </c>
      <c r="B26" s="3">
        <v>0</v>
      </c>
      <c r="D26" s="7" t="s">
        <v>15</v>
      </c>
      <c r="E26" s="20" t="s">
        <v>14</v>
      </c>
      <c r="F26" s="20"/>
      <c r="G26" s="20"/>
    </row>
    <row r="27" spans="1:10" x14ac:dyDescent="0.35">
      <c r="A27" s="2" t="s">
        <v>13</v>
      </c>
      <c r="B27" s="3">
        <f>SUM(B24:B26)</f>
        <v>805800</v>
      </c>
      <c r="D27" s="7" t="s">
        <v>12</v>
      </c>
      <c r="E27" s="4">
        <f ca="1">IF(TODAY()&lt;E25,0,MIN(DATEDIF(E25,MIN(TODAY(),F25),"m")+1,DATEDIF(E25,F25,"m")+1))</f>
        <v>9</v>
      </c>
    </row>
    <row r="28" spans="1:10" x14ac:dyDescent="0.35">
      <c r="A28" s="2" t="s">
        <v>11</v>
      </c>
      <c r="B28" s="6">
        <v>5750</v>
      </c>
      <c r="D28" s="7" t="s">
        <v>10</v>
      </c>
      <c r="E28" s="4">
        <f ca="1">12-E27</f>
        <v>3</v>
      </c>
    </row>
    <row r="29" spans="1:10" x14ac:dyDescent="0.35">
      <c r="A29" s="2" t="s">
        <v>9</v>
      </c>
      <c r="B29" s="6">
        <v>150</v>
      </c>
      <c r="D29" s="7" t="s">
        <v>8</v>
      </c>
      <c r="E29" s="4">
        <f ca="1">IF(TODAY()&lt;E24,0,DATEDIF(E24,TODAY(),"m")+1)</f>
        <v>13</v>
      </c>
    </row>
    <row r="30" spans="1:10" x14ac:dyDescent="0.35">
      <c r="A30" s="2" t="s">
        <v>7</v>
      </c>
      <c r="B30" s="6">
        <v>70</v>
      </c>
    </row>
    <row r="31" spans="1:10" x14ac:dyDescent="0.35">
      <c r="A31" s="2" t="s">
        <v>6</v>
      </c>
      <c r="B31" s="6">
        <v>205</v>
      </c>
      <c r="C31" s="4" t="s">
        <v>5</v>
      </c>
    </row>
    <row r="32" spans="1:10" x14ac:dyDescent="0.35">
      <c r="A32" s="2" t="s">
        <v>4</v>
      </c>
      <c r="B32" s="5">
        <v>800</v>
      </c>
      <c r="C32" s="4" t="s">
        <v>3</v>
      </c>
    </row>
    <row r="34" spans="1:4" x14ac:dyDescent="0.35">
      <c r="A34" s="2" t="s">
        <v>34</v>
      </c>
      <c r="B34" s="3" cm="1">
        <f t="array" ref="B34">LOOKUP(2,1/(ISNUMBER($J:$J)),$J:$J)-$B$27</f>
        <v>122200</v>
      </c>
    </row>
    <row r="35" spans="1:4" x14ac:dyDescent="0.35">
      <c r="A35" s="2" t="s">
        <v>2</v>
      </c>
      <c r="B35" s="3">
        <v>5750</v>
      </c>
    </row>
    <row r="36" spans="1:4" x14ac:dyDescent="0.35">
      <c r="A36" s="2" t="s">
        <v>1</v>
      </c>
      <c r="B36" s="1" t="s">
        <v>0</v>
      </c>
    </row>
    <row r="37" spans="1:4" x14ac:dyDescent="0.35">
      <c r="A37" s="22" t="s">
        <v>39</v>
      </c>
      <c r="B37" s="3" cm="1">
        <f t="array" ref="B37">LOOKUP(2,1/(ISNUMBER(J:J)),J:J)
 - _xlfn.XLOOKUP(
     DATE(YEAR(E25),MONTH(E25),1),
     A:A,
     J:J,
     ,
     1
   )</f>
        <v>113000</v>
      </c>
      <c r="C37" s="21">
        <f>B37/B27</f>
        <v>0.14023330851327873</v>
      </c>
    </row>
    <row r="38" spans="1:4" x14ac:dyDescent="0.35">
      <c r="A38" s="22" t="s">
        <v>38</v>
      </c>
      <c r="B38" s="3">
        <v>10800</v>
      </c>
    </row>
    <row r="41" spans="1:4" x14ac:dyDescent="0.35">
      <c r="A41" s="4"/>
      <c r="B41" s="4" t="s">
        <v>35</v>
      </c>
      <c r="C41" s="4" t="s">
        <v>22</v>
      </c>
      <c r="D41" s="4" t="s">
        <v>36</v>
      </c>
    </row>
    <row r="42" spans="1:4" x14ac:dyDescent="0.35">
      <c r="A42" s="22" t="s">
        <v>32</v>
      </c>
      <c r="B42" s="23">
        <f>H17/$B$27</f>
        <v>5.6977562670637881E-2</v>
      </c>
      <c r="C42" s="23">
        <f ca="1">H18/B27</f>
        <v>5.6001799453958799E-2</v>
      </c>
      <c r="D42" s="23">
        <f>H19/B27</f>
        <v>7.1047406304293875E-2</v>
      </c>
    </row>
    <row r="43" spans="1:4" x14ac:dyDescent="0.35">
      <c r="A43" s="22" t="s">
        <v>33</v>
      </c>
      <c r="B43" s="23">
        <f>(H17-I18)/$B$27</f>
        <v>4.357473318441301E-2</v>
      </c>
      <c r="C43" s="23">
        <f ca="1">(H18-I18)/B27</f>
        <v>4.2598969967733928E-2</v>
      </c>
      <c r="D43" s="23">
        <f>(H19-B38)/B27</f>
        <v>5.7644576818068997E-2</v>
      </c>
    </row>
    <row r="44" spans="1:4" x14ac:dyDescent="0.35">
      <c r="A44" s="22" t="s">
        <v>37</v>
      </c>
      <c r="B44" s="23">
        <f>(H17+B37)/B27</f>
        <v>0.19721087118391661</v>
      </c>
      <c r="C44" s="23">
        <f ca="1">(H18+$B$37)/$B$27</f>
        <v>0.19623510796723753</v>
      </c>
      <c r="D44" s="23">
        <f>(H19+$B$37-B38)/$B$27</f>
        <v>0.19787788533134773</v>
      </c>
    </row>
    <row r="45" spans="1:4" x14ac:dyDescent="0.35">
      <c r="A45" s="22" t="s">
        <v>40</v>
      </c>
      <c r="B45" s="3">
        <v>51690</v>
      </c>
    </row>
    <row r="46" spans="1:4" x14ac:dyDescent="0.35">
      <c r="A46" s="22" t="s">
        <v>41</v>
      </c>
      <c r="B46" s="23">
        <f>(B34+H17-B38-B45)/B27</f>
        <v>0.13107783569123854</v>
      </c>
    </row>
  </sheetData>
  <mergeCells count="1">
    <mergeCell ref="E26:G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B369-29DB-4595-811A-9969C72E68C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Buena Ventura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awad</dc:creator>
  <cp:lastModifiedBy>kareem awad</cp:lastModifiedBy>
  <dcterms:created xsi:type="dcterms:W3CDTF">2025-12-13T02:53:33Z</dcterms:created>
  <dcterms:modified xsi:type="dcterms:W3CDTF">2025-12-13T11:51:22Z</dcterms:modified>
</cp:coreProperties>
</file>